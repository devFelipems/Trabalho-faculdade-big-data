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rabalho big data python\Trabalho-faculdade-big-data\"/>
    </mc:Choice>
  </mc:AlternateContent>
  <xr:revisionPtr revIDLastSave="0" documentId="13_ncr:1_{5FEDB2B6-EE25-4E89-A975-7F9039DC121A}" xr6:coauthVersionLast="47" xr6:coauthVersionMax="47" xr10:uidLastSave="{00000000-0000-0000-0000-000000000000}"/>
  <bookViews>
    <workbookView xWindow="-120" yWindow="-120" windowWidth="24240" windowHeight="17640" firstSheet="6" activeTab="8" xr2:uid="{00000000-000D-0000-FFFF-FFFF00000000}"/>
  </bookViews>
  <sheets>
    <sheet name="resumo" sheetId="1" r:id="rId1"/>
    <sheet name="assertividade" sheetId="2" r:id="rId2"/>
    <sheet name="ciclo" sheetId="3" r:id="rId3"/>
    <sheet name="falta 1 sku" sheetId="4" r:id="rId4"/>
    <sheet name="Atraso com +15DD (LeadTime)" sheetId="5" r:id="rId5"/>
    <sheet name="Peças (Falta 1 Sku)" sheetId="6" r:id="rId6"/>
    <sheet name="Reserva Parcial" sheetId="7" r:id="rId7"/>
    <sheet name="Reservado-Credito" sheetId="8" r:id="rId8"/>
    <sheet name="Reserva integral" sheetId="9" r:id="rId9"/>
  </sheets>
  <externalReferences>
    <externalReference r:id="rId10"/>
  </externalReferenc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<sst xmlns="http://schemas.openxmlformats.org/spreadsheetml/2006/main" count="391" uniqueCount="165">
  <si>
    <t xml:space="preserve"> Planejamento 11/11/2025</t>
  </si>
  <si>
    <t xml:space="preserve"> Planejamento 10/11/2025</t>
  </si>
  <si>
    <t>Divisão</t>
  </si>
  <si>
    <t>Vlr de Pedido</t>
  </si>
  <si>
    <t>Valor Faturado</t>
  </si>
  <si>
    <t>%</t>
  </si>
  <si>
    <t>Ciclo do Pedido</t>
  </si>
  <si>
    <t>Falta 1 Sku</t>
  </si>
  <si>
    <t>Atraso com +15DD</t>
  </si>
  <si>
    <t>Peças OS</t>
  </si>
  <si>
    <t>Reserva integral</t>
  </si>
  <si>
    <t>Reserva Parcial</t>
  </si>
  <si>
    <t>Reservado/Credito</t>
  </si>
  <si>
    <t>Total</t>
  </si>
  <si>
    <t>-</t>
  </si>
  <si>
    <t>Pedido</t>
  </si>
  <si>
    <t>Vlr Preview Faturamento</t>
  </si>
  <si>
    <t>Vlr Faturamento</t>
  </si>
  <si>
    <t xml:space="preserve">DESCRIÇÃO </t>
  </si>
  <si>
    <t>Coluna2</t>
  </si>
  <si>
    <t>ciclo</t>
  </si>
  <si>
    <t>1 sku</t>
  </si>
  <si>
    <t>198830</t>
  </si>
  <si>
    <t>integral</t>
  </si>
  <si>
    <t>200555</t>
  </si>
  <si>
    <t>parcial</t>
  </si>
  <si>
    <t>200558</t>
  </si>
  <si>
    <t>200524</t>
  </si>
  <si>
    <t>200098</t>
  </si>
  <si>
    <t>200415</t>
  </si>
  <si>
    <t>200539</t>
  </si>
  <si>
    <t>reservado credito</t>
  </si>
  <si>
    <t>PLANEJAMENTO FATURAMENTO</t>
  </si>
  <si>
    <t>Data</t>
  </si>
  <si>
    <t>Assertividade</t>
  </si>
  <si>
    <t>CÓDIGO</t>
  </si>
  <si>
    <t>DESCRICAO</t>
  </si>
  <si>
    <t>Qtd Total Liberada</t>
  </si>
  <si>
    <t>Qtd Total Bloqueada</t>
  </si>
  <si>
    <t>Qtd em Produção v2</t>
  </si>
  <si>
    <t>Saldo a Distribuir</t>
  </si>
  <si>
    <t>Saldo Disponivel</t>
  </si>
  <si>
    <t>Qtd Em Transito</t>
  </si>
  <si>
    <t>Vlr Pedidos Bloq. Estoque</t>
  </si>
  <si>
    <t>Vlr Pedido Total</t>
  </si>
  <si>
    <t>Data Ent. Cliente</t>
  </si>
  <si>
    <t>Data LeadTime</t>
  </si>
  <si>
    <t>Tempo Base Ciclo</t>
  </si>
  <si>
    <t>Tempo Entrega Cliente</t>
  </si>
  <si>
    <t>Tempo Entrega LeadTime</t>
  </si>
  <si>
    <t>OBS</t>
  </si>
  <si>
    <t>Filtro Para Piscina Dfr-22 Sem Bomba Sem Areia</t>
  </si>
  <si>
    <t/>
  </si>
  <si>
    <t>Bomba Pratika Pf-22W 60Mm 3,0Cv M 127/220/254V</t>
  </si>
  <si>
    <t>Bomba Pratika Pf-22W 60Mm 3,0Cv T 220/380V Ir3</t>
  </si>
  <si>
    <t>Bomba Pratika Pf-17W 50Mm 1/3Cv M 127/220/254V</t>
  </si>
  <si>
    <t>Bomba Pratika Pf-17W 50Mm 1/2Cv M 127/220/254V</t>
  </si>
  <si>
    <t>Filtro Para Piscina Dfr-19 Sem Bomba Sem Areia</t>
  </si>
  <si>
    <t>30672022</t>
  </si>
  <si>
    <t>10440222</t>
  </si>
  <si>
    <t>10440073</t>
  </si>
  <si>
    <t>10445906</t>
  </si>
  <si>
    <t>Bomba Pratika Pf-17 50Mm 0,75Cv T 220/380V Ir3</t>
  </si>
  <si>
    <t>obs</t>
  </si>
  <si>
    <t>10116971</t>
  </si>
  <si>
    <t>Bomba 697 Tjm 2'' 20,0Cv T 4V Ir3</t>
  </si>
  <si>
    <t>10150044</t>
  </si>
  <si>
    <t>Bomba 15-70 Jm 3" 5,0Cv Sem Motor</t>
  </si>
  <si>
    <t>10200709</t>
  </si>
  <si>
    <t>Bomba 709 S 1.1/2" 1,0Cv M 127/220/254V</t>
  </si>
  <si>
    <t>10208148</t>
  </si>
  <si>
    <t>Bomba 725 Tjm 3" 7,5Cv T 4V Ir3</t>
  </si>
  <si>
    <t>10350105</t>
  </si>
  <si>
    <t>Bomba Ds 56-40 2,0Cv T 380V 2P Sic</t>
  </si>
  <si>
    <t>10362060</t>
  </si>
  <si>
    <t>Bomba 2060 Sde 2'' 1,0Cv M 220V 4P</t>
  </si>
  <si>
    <t>10400083</t>
  </si>
  <si>
    <t>Bomba Cam-W6 2,0Cv M 110/220V</t>
  </si>
  <si>
    <t>10440006</t>
  </si>
  <si>
    <t>Bomba Pratika Pf-17 50Mm 1,0Cv M 127/220/254V Ip55 Fc149</t>
  </si>
  <si>
    <t>10601167</t>
  </si>
  <si>
    <t>Bomba Cam-W16 1.1/2Cv M 127/220/254V</t>
  </si>
  <si>
    <t>10606304</t>
  </si>
  <si>
    <t>Bomba Cam-W16 1,5Cv T 220/380V Ir3</t>
  </si>
  <si>
    <t>10611021</t>
  </si>
  <si>
    <t>Bomba Cam-W10 2,0Cv M 220/440V</t>
  </si>
  <si>
    <t>10652518</t>
  </si>
  <si>
    <t>Bomba Cam-W21 2.1/2" 3,0Cv T 220/380V Ir3</t>
  </si>
  <si>
    <t>PEDIDO</t>
  </si>
  <si>
    <t>30673019</t>
  </si>
  <si>
    <t>10352406</t>
  </si>
  <si>
    <t>Bomba 2103 Sde 2'' 1,0Cv T 220V 2P Ir3</t>
  </si>
  <si>
    <t>10352415</t>
  </si>
  <si>
    <t>Bomba 2053 Sde 2'' 0,5Cv T 220V 2P Ir3</t>
  </si>
  <si>
    <t>10362304</t>
  </si>
  <si>
    <t>Bomba 2103 Sde 2'' 1,0Cv T 380V 2P Ir3</t>
  </si>
  <si>
    <t>10611015</t>
  </si>
  <si>
    <t>Bomba Cam-W10 1.1/2Cv M 127/220/254V</t>
  </si>
  <si>
    <t>10652529</t>
  </si>
  <si>
    <t>Bomba Cam-W21 1,0Cv T 220/380V Ir3</t>
  </si>
  <si>
    <t>10200712</t>
  </si>
  <si>
    <t>Bomba 712 S 2'' 2,0Cv M 127/220/254V</t>
  </si>
  <si>
    <t>10208152</t>
  </si>
  <si>
    <t>Bomba 717 S 2'' 2,0Cv T 220/380V Ir3</t>
  </si>
  <si>
    <t>10611030</t>
  </si>
  <si>
    <t>Bomba Cam-W10 3,0Cv M 127/220/254V</t>
  </si>
  <si>
    <t>10350021</t>
  </si>
  <si>
    <t>Bomba Ds 76-50 3,0Cv T 220V 4P Sic</t>
  </si>
  <si>
    <t>10141964</t>
  </si>
  <si>
    <t>Bomba 89-62 Tjm 2'' 30,0Cv T 4V Ir3</t>
  </si>
  <si>
    <t>60701572P</t>
  </si>
  <si>
    <t>Arruela Lisa 25.40Mm X 8.30Mm X 2.00Mm Aco Inox Aisi 304 Emb. C/5 Unid.</t>
  </si>
  <si>
    <t>80460011P</t>
  </si>
  <si>
    <t>Intermediaria Booster 1'' Ff</t>
  </si>
  <si>
    <t>80561326P</t>
  </si>
  <si>
    <t>Acoplamento Dmc 5,0Cv</t>
  </si>
  <si>
    <t>14800256P</t>
  </si>
  <si>
    <t>Motor Weg Ip21 St Jj 1/2Cv M 127/220/254V 2P 50/60Hz Fc122 W48J</t>
  </si>
  <si>
    <t>95600453P</t>
  </si>
  <si>
    <t>Tanque De Pressao Us 061 366 Horizontal</t>
  </si>
  <si>
    <t>60560027P</t>
  </si>
  <si>
    <t>Rotor 17-120 6,0Cv Ff 184Mm</t>
  </si>
  <si>
    <t>80560995P</t>
  </si>
  <si>
    <t>Conjunto Cabo Eletrico/Prensa Cabo 3,0 A 7,5Cv</t>
  </si>
  <si>
    <t>80560847P</t>
  </si>
  <si>
    <t>Bucha Ms Espacadora Al</t>
  </si>
  <si>
    <t>80560820P</t>
  </si>
  <si>
    <t>Ralo Booster Inox 304 Emb. C/ 2 Unid.</t>
  </si>
  <si>
    <t>60550008P</t>
  </si>
  <si>
    <t>Defletor 7/16" Emb. C/ 10 Unid.</t>
  </si>
  <si>
    <t>60550023P</t>
  </si>
  <si>
    <t>Difusor 706 Emb. C/ 3 Unid.</t>
  </si>
  <si>
    <t>60432000P</t>
  </si>
  <si>
    <t>Intermediaria Sde</t>
  </si>
  <si>
    <t>80561242P</t>
  </si>
  <si>
    <t>Bocal Booster 1" Ff Ø3 27/64" Nf</t>
  </si>
  <si>
    <t>80560649P</t>
  </si>
  <si>
    <t>Acoplamento Booster 7/16" Aco Inox 304 Emb. C/ 2 Unid.</t>
  </si>
  <si>
    <t>70570144P</t>
  </si>
  <si>
    <t>Valvula Seletora Dfr</t>
  </si>
  <si>
    <t>Vlr Pedido R$(Reserva Parcial</t>
  </si>
  <si>
    <t>Vlr total Pedido R$</t>
  </si>
  <si>
    <t>199003</t>
  </si>
  <si>
    <t>200408</t>
  </si>
  <si>
    <t>200559</t>
  </si>
  <si>
    <t>200554</t>
  </si>
  <si>
    <t>200081</t>
  </si>
  <si>
    <t>200523</t>
  </si>
  <si>
    <t>200274</t>
  </si>
  <si>
    <t>200468</t>
  </si>
  <si>
    <t>200522</t>
  </si>
  <si>
    <t>200278</t>
  </si>
  <si>
    <t>200543</t>
  </si>
  <si>
    <t>200252</t>
  </si>
  <si>
    <t>200551</t>
  </si>
  <si>
    <t>199383</t>
  </si>
  <si>
    <t>198773</t>
  </si>
  <si>
    <t>199896</t>
  </si>
  <si>
    <t>198757</t>
  </si>
  <si>
    <t>199995</t>
  </si>
  <si>
    <t>198636</t>
  </si>
  <si>
    <t>200544</t>
  </si>
  <si>
    <t>200545</t>
  </si>
  <si>
    <t>199650</t>
  </si>
  <si>
    <t>Vlr Total Pedido R$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</si>
</sst>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d/m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1"/>
      <color rgb="FF9C5700"/>
      <name val="Calibri"/>
      <family val="2"/>
      <scheme val="minor"/>
    </font>
    <font>
      <sz val="11"/>
      <color indexed="8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sz val="10"/>
      <color rgb="FF800080"/>
      <name val="Calibri"/>
      <family val="2"/>
    </font>
    <font>
      <sz val="10"/>
      <name val="Aptos Narrow"/>
      <family val="2"/>
    </font>
    <font>
      <b/>
      <sz val="10"/>
      <color rgb="FFFF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7" fillId="0" borderId="0"/>
    <xf numFmtId="0" fontId="19" fillId="0" borderId="0"/>
    <xf numFmtId="0" fontId="19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24" fillId="0" borderId="0" applyNumberFormat="0" applyFill="0" applyBorder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14" fontId="28" fillId="0" borderId="10" xfId="36" applyNumberFormat="1" applyFont="1" applyBorder="1" applyAlignment="1">
      <alignment vertical="center" wrapText="1"/>
    </xf>
    <xf numFmtId="14" fontId="29" fillId="0" borderId="0" xfId="35" applyNumberFormat="1" applyFont="1"/>
    <xf numFmtId="0" fontId="28" fillId="0" borderId="10" xfId="36" applyFont="1" applyBorder="1" applyAlignment="1">
      <alignment vertical="center" wrapText="1"/>
    </xf>
    <xf numFmtId="44" fontId="21" fillId="0" borderId="0" xfId="38" applyFont="1" applyFill="1" applyAlignment="1">
      <alignment horizontal="left"/>
    </xf>
    <xf numFmtId="44" fontId="29" fillId="0" borderId="0" xfId="38" applyFont="1" applyFill="1" applyAlignment="1">
      <alignment horizontal="left"/>
    </xf>
    <xf numFmtId="0" fontId="17" fillId="0" borderId="0" xfId="34"/>
    <xf numFmtId="0" fontId="18" fillId="0" borderId="11" xfId="34" applyFont="1" applyBorder="1" applyAlignment="1">
      <alignment horizontal="center"/>
    </xf>
    <xf numFmtId="164" fontId="17" fillId="0" borderId="0" xfId="34" applyNumberFormat="1" applyAlignment="1">
      <alignment horizontal="center"/>
    </xf>
    <xf numFmtId="164" fontId="17" fillId="0" borderId="0" xfId="34" applyNumberFormat="1"/>
    <xf numFmtId="9" fontId="17" fillId="0" borderId="11" xfId="39" applyFont="1" applyBorder="1" applyAlignment="1">
      <alignment horizontal="center"/>
    </xf>
    <xf numFmtId="9" fontId="17" fillId="33" borderId="11" xfId="39" applyFont="1" applyFill="1" applyBorder="1" applyAlignment="1">
      <alignment horizontal="center"/>
    </xf>
    <xf numFmtId="0" fontId="17" fillId="0" borderId="0" xfId="34" applyFont="1"/>
    <xf numFmtId="0" fontId="21" fillId="0" borderId="0" xfId="34" applyFont="1" applyAlignment="1">
      <alignment horizontal="center"/>
    </xf>
    <xf numFmtId="44" fontId="18" fillId="0" borderId="11" xfId="38" applyFont="1" applyBorder="1" applyAlignment="1">
      <alignment horizontal="left"/>
    </xf>
    <xf numFmtId="44" fontId="17" fillId="0" borderId="11" xfId="38" applyFont="1" applyBorder="1" applyAlignment="1">
      <alignment horizontal="left"/>
    </xf>
    <xf numFmtId="44" fontId="17" fillId="0" borderId="11" xfId="38" applyFont="1" applyFill="1" applyBorder="1" applyAlignment="1">
      <alignment horizontal="center"/>
    </xf>
    <xf numFmtId="44" fontId="17" fillId="0" borderId="14" xfId="38" applyFont="1" applyFill="1" applyBorder="1" applyAlignment="1">
      <alignment horizontal="left"/>
    </xf>
    <xf numFmtId="164" fontId="17" fillId="0" borderId="0" xfId="34" applyNumberFormat="1" applyFont="1" applyAlignment="1">
      <alignment horizontal="center"/>
    </xf>
    <xf numFmtId="44" fontId="17" fillId="0" borderId="0" xfId="38" applyFont="1"/>
    <xf numFmtId="0" fontId="18" fillId="0" borderId="0" xfId="34" applyFont="1"/>
    <xf numFmtId="0" fontId="17" fillId="0" borderId="0" xfId="34" applyFont="1" applyAlignment="1">
      <alignment horizontal="center"/>
    </xf>
    <xf numFmtId="44" fontId="18" fillId="0" borderId="11" xfId="38" applyFont="1" applyBorder="1" applyAlignment="1">
      <alignment horizontal="center"/>
    </xf>
    <xf numFmtId="44" fontId="17" fillId="0" borderId="11" xfId="38" applyFont="1" applyBorder="1" applyAlignment="1">
      <alignment horizontal="center"/>
    </xf>
    <xf numFmtId="0" fontId="17" fillId="33" borderId="11" xfId="34" applyFont="1" applyFill="1" applyBorder="1" applyAlignment="1">
      <alignment horizontal="center"/>
    </xf>
    <xf numFmtId="0" fontId="20" fillId="0" borderId="0" xfId="34" applyFont="1" applyAlignment="1">
      <alignment horizontal="center" vertical="center"/>
    </xf>
    <xf numFmtId="0" fontId="17" fillId="0" borderId="14" xfId="34" applyFont="1" applyBorder="1" applyAlignment="1">
      <alignment horizontal="center"/>
    </xf>
    <xf numFmtId="44" fontId="17" fillId="0" borderId="0" xfId="38" applyFont="1" applyBorder="1" applyAlignment="1">
      <alignment horizontal="left"/>
    </xf>
    <xf numFmtId="44" fontId="17" fillId="0" borderId="11" xfId="38" applyFont="1" applyFill="1" applyBorder="1" applyAlignment="1">
      <alignment horizontal="left"/>
    </xf>
    <xf numFmtId="44" fontId="17" fillId="0" borderId="15" xfId="38" applyFont="1" applyBorder="1" applyAlignment="1">
      <alignment horizontal="left"/>
    </xf>
    <xf numFmtId="44" fontId="17" fillId="0" borderId="0" xfId="38" applyFont="1" applyFill="1" applyAlignment="1">
      <alignment horizontal="left"/>
    </xf>
    <xf numFmtId="0" fontId="21" fillId="0" borderId="0" xfId="34" applyFont="1" applyAlignment="1">
      <alignment horizontal="center" vertical="center"/>
    </xf>
    <xf numFmtId="44" fontId="17" fillId="0" borderId="0" xfId="38" applyFont="1" applyFill="1" applyAlignment="1">
      <alignment horizontal="right"/>
    </xf>
    <xf numFmtId="44" fontId="28" fillId="0" borderId="10" xfId="38" applyFont="1" applyFill="1" applyBorder="1" applyAlignment="1">
      <alignment horizontal="left" vertical="center" wrapText="1"/>
    </xf>
    <xf numFmtId="0" fontId="29" fillId="0" borderId="0" xfId="35" applyFont="1"/>
    <xf numFmtId="0" fontId="17" fillId="0" borderId="0" xfId="35"/>
    <xf numFmtId="9" fontId="17" fillId="0" borderId="0" xfId="39" applyFont="1"/>
    <xf numFmtId="165" fontId="17" fillId="0" borderId="0" xfId="35" applyNumberFormat="1"/>
    <xf numFmtId="0" fontId="21" fillId="0" borderId="0" xfId="35" applyFont="1" applyAlignment="1">
      <alignment horizontal="center"/>
    </xf>
    <xf numFmtId="165" fontId="21" fillId="0" borderId="0" xfId="35" applyNumberFormat="1" applyFont="1" applyAlignment="1">
      <alignment horizontal="center"/>
    </xf>
    <xf numFmtId="9" fontId="21" fillId="0" borderId="0" xfId="39" applyFont="1" applyAlignment="1">
      <alignment horizontal="center"/>
    </xf>
    <xf numFmtId="9" fontId="21" fillId="0" borderId="0" xfId="35" applyNumberFormat="1" applyFont="1" applyAlignment="1">
      <alignment horizontal="center"/>
    </xf>
    <xf numFmtId="0" fontId="17" fillId="0" borderId="0" xfId="35"/>
    <xf numFmtId="0" fontId="21" fillId="0" borderId="0" xfId="35" applyFont="1" applyAlignment="1">
      <alignment horizontal="center" vertical="center" wrapText="1"/>
    </xf>
    <xf numFmtId="0" fontId="21" fillId="0" borderId="10" xfId="35" applyFont="1" applyBorder="1" applyAlignment="1">
      <alignment vertical="center" wrapText="1"/>
    </xf>
    <xf numFmtId="0" fontId="21" fillId="0" borderId="10" xfId="35" applyFont="1" applyBorder="1" applyAlignment="1">
      <alignment horizontal="left" vertical="center" wrapText="1"/>
    </xf>
    <xf numFmtId="14" fontId="21" fillId="0" borderId="10" xfId="35" applyNumberFormat="1" applyFont="1" applyBorder="1" applyAlignment="1">
      <alignment vertical="center" wrapText="1"/>
    </xf>
    <xf numFmtId="164" fontId="21" fillId="0" borderId="0" xfId="38" applyNumberFormat="1" applyFont="1" applyFill="1" applyAlignment="1"/>
    <xf numFmtId="0" fontId="21" fillId="0" borderId="10" xfId="35" applyFont="1" applyBorder="1" applyAlignment="1">
      <alignment horizontal="center" vertical="center" wrapText="1"/>
    </xf>
    <xf numFmtId="164" fontId="21" fillId="0" borderId="10" xfId="35" applyNumberFormat="1" applyFont="1" applyBorder="1" applyAlignment="1">
      <alignment vertical="center" wrapText="1"/>
    </xf>
    <xf numFmtId="164" fontId="21" fillId="0" borderId="10" xfId="38" applyNumberFormat="1" applyFont="1" applyFill="1" applyBorder="1" applyAlignment="1">
      <alignment vertical="center" wrapText="1"/>
    </xf>
    <xf numFmtId="0" fontId="21" fillId="35" borderId="0" xfId="35" applyFont="1" applyFill="1" applyAlignment="1">
      <alignment horizontal="left"/>
    </xf>
    <xf numFmtId="0" fontId="21" fillId="0" borderId="0" xfId="35" applyFont="1" applyFill="1"/>
    <xf numFmtId="0" fontId="21" fillId="0" borderId="0" xfId="35" applyFont="1" applyFill="1" applyAlignment="1">
      <alignment horizontal="left"/>
    </xf>
    <xf numFmtId="0" fontId="21" fillId="0" borderId="0" xfId="35" applyFont="1" applyFill="1" applyAlignment="1">
      <alignment horizontal="center"/>
    </xf>
    <xf numFmtId="164" fontId="21" fillId="0" borderId="0" xfId="35" applyNumberFormat="1" applyFont="1" applyFill="1"/>
    <xf numFmtId="14" fontId="21" fillId="0" borderId="0" xfId="35" applyNumberFormat="1" applyFont="1" applyFill="1"/>
    <xf numFmtId="0" fontId="27" fillId="0" borderId="0" xfId="35" applyFont="1" applyFill="1"/>
    <xf numFmtId="0" fontId="27" fillId="0" borderId="0" xfId="35" applyFont="1" applyFill="1" applyAlignment="1">
      <alignment horizontal="left"/>
    </xf>
    <xf numFmtId="0" fontId="27" fillId="0" borderId="0" xfId="35" applyFont="1" applyFill="1" applyAlignment="1">
      <alignment horizontal="center"/>
    </xf>
    <xf numFmtId="164" fontId="27" fillId="0" borderId="0" xfId="35" applyNumberFormat="1" applyFont="1" applyFill="1"/>
    <xf numFmtId="164" fontId="27" fillId="0" borderId="0" xfId="38" applyNumberFormat="1" applyFont="1" applyFill="1" applyAlignment="1"/>
    <xf numFmtId="14" fontId="27" fillId="0" borderId="0" xfId="35" applyNumberFormat="1" applyFont="1" applyFill="1"/>
    <xf numFmtId="0" fontId="27" fillId="35" borderId="0" xfId="35" applyFont="1" applyFill="1" applyAlignment="1">
      <alignment horizontal="left"/>
    </xf>
    <xf numFmtId="0" fontId="17" fillId="0" borderId="0" xfId="35"/>
    <xf numFmtId="0" fontId="21" fillId="0" borderId="0" xfId="35" applyFont="1"/>
    <xf numFmtId="0" fontId="21" fillId="0" borderId="0" xfId="35" applyFont="1" applyAlignment="1">
      <alignment horizontal="left"/>
    </xf>
    <xf numFmtId="14" fontId="21" fillId="0" borderId="0" xfId="35" applyNumberFormat="1" applyFont="1"/>
    <xf numFmtId="7" fontId="21" fillId="0" borderId="0" xfId="35" applyNumberFormat="1" applyFont="1"/>
    <xf numFmtId="44" fontId="21" fillId="0" borderId="0" xfId="38" applyFont="1" applyFill="1" applyAlignment="1"/>
    <xf numFmtId="0" fontId="21" fillId="0" borderId="0" xfId="35" applyFont="1" applyAlignment="1">
      <alignment vertical="center"/>
    </xf>
    <xf numFmtId="0" fontId="21" fillId="0" borderId="10" xfId="35" applyFont="1" applyBorder="1" applyAlignment="1">
      <alignment vertical="center" wrapText="1"/>
    </xf>
    <xf numFmtId="0" fontId="21" fillId="0" borderId="10" xfId="35" applyFont="1" applyBorder="1" applyAlignment="1">
      <alignment horizontal="left" vertical="center" wrapText="1"/>
    </xf>
    <xf numFmtId="44" fontId="21" fillId="0" borderId="10" xfId="38" applyFont="1" applyFill="1" applyBorder="1" applyAlignment="1">
      <alignment vertical="center" wrapText="1"/>
    </xf>
    <xf numFmtId="14" fontId="21" fillId="0" borderId="10" xfId="35" applyNumberFormat="1" applyFont="1" applyBorder="1" applyAlignment="1">
      <alignment vertical="center" wrapText="1"/>
    </xf>
    <xf numFmtId="0" fontId="21" fillId="0" borderId="0" xfId="35" applyFont="1" applyAlignment="1">
      <alignment vertical="center" wrapText="1"/>
    </xf>
    <xf numFmtId="44" fontId="21" fillId="0" borderId="0" xfId="38" applyFont="1" applyFill="1" applyAlignment="1">
      <alignment vertical="center"/>
    </xf>
    <xf numFmtId="0" fontId="21" fillId="35" borderId="0" xfId="35" applyFont="1" applyFill="1" applyAlignment="1">
      <alignment horizontal="left"/>
    </xf>
    <xf numFmtId="0" fontId="21" fillId="35" borderId="0" xfId="35" applyFont="1" applyFill="1"/>
    <xf numFmtId="44" fontId="21" fillId="0" borderId="0" xfId="35" applyNumberFormat="1" applyFont="1" applyAlignment="1">
      <alignment vertical="center"/>
    </xf>
    <xf numFmtId="0" fontId="21" fillId="0" borderId="0" xfId="35" applyFont="1"/>
    <xf numFmtId="14" fontId="21" fillId="0" borderId="0" xfId="35" applyNumberFormat="1" applyFont="1"/>
    <xf numFmtId="7" fontId="21" fillId="0" borderId="0" xfId="35" applyNumberFormat="1" applyFont="1"/>
    <xf numFmtId="0" fontId="21" fillId="0" borderId="0" xfId="35" applyFont="1"/>
    <xf numFmtId="0" fontId="21" fillId="0" borderId="0" xfId="35" applyFont="1" applyAlignment="1">
      <alignment horizontal="left"/>
    </xf>
    <xf numFmtId="44" fontId="21" fillId="0" borderId="0" xfId="38" applyFont="1" applyAlignment="1"/>
    <xf numFmtId="164" fontId="21" fillId="0" borderId="0" xfId="38" applyNumberFormat="1" applyFont="1" applyAlignment="1"/>
    <xf numFmtId="14" fontId="21" fillId="0" borderId="0" xfId="35" applyNumberFormat="1" applyFont="1"/>
    <xf numFmtId="7" fontId="21" fillId="0" borderId="0" xfId="35" applyNumberFormat="1" applyFont="1"/>
    <xf numFmtId="44" fontId="21" fillId="0" borderId="0" xfId="38" applyFont="1" applyFill="1" applyAlignment="1"/>
    <xf numFmtId="0" fontId="21" fillId="0" borderId="0" xfId="35" applyFont="1" applyAlignment="1">
      <alignment vertical="center"/>
    </xf>
    <xf numFmtId="0" fontId="21" fillId="0" borderId="10" xfId="35" applyFont="1" applyBorder="1" applyAlignment="1">
      <alignment vertical="center" wrapText="1"/>
    </xf>
    <xf numFmtId="14" fontId="21" fillId="0" borderId="10" xfId="35" applyNumberFormat="1" applyFont="1" applyBorder="1" applyAlignment="1">
      <alignment vertical="center" wrapText="1"/>
    </xf>
    <xf numFmtId="44" fontId="21" fillId="0" borderId="0" xfId="38" applyFont="1" applyFill="1" applyAlignment="1">
      <alignment vertical="center"/>
    </xf>
    <xf numFmtId="44" fontId="21" fillId="0" borderId="10" xfId="38" applyFont="1" applyBorder="1" applyAlignment="1">
      <alignment vertical="center" wrapText="1"/>
    </xf>
    <xf numFmtId="164" fontId="21" fillId="0" borderId="10" xfId="38" applyNumberFormat="1" applyFont="1" applyBorder="1" applyAlignment="1">
      <alignment vertical="center" wrapText="1"/>
    </xf>
    <xf numFmtId="0" fontId="17" fillId="0" borderId="0" xfId="35"/>
    <xf numFmtId="0" fontId="21" fillId="0" borderId="0" xfId="35" applyFont="1"/>
    <xf numFmtId="0" fontId="21" fillId="0" borderId="0" xfId="35" applyFont="1" applyAlignment="1">
      <alignment horizontal="center" vertical="center"/>
    </xf>
    <xf numFmtId="44" fontId="21" fillId="0" borderId="0" xfId="38" applyFont="1" applyFill="1" applyBorder="1" applyAlignment="1">
      <alignment horizontal="center" vertical="center"/>
    </xf>
    <xf numFmtId="44" fontId="21" fillId="0" borderId="0" xfId="38" applyFont="1" applyFill="1" applyBorder="1"/>
    <xf numFmtId="44" fontId="21" fillId="0" borderId="12" xfId="38" applyFont="1" applyFill="1" applyBorder="1" applyAlignment="1">
      <alignment horizontal="center" vertical="center"/>
    </xf>
    <xf numFmtId="44" fontId="21" fillId="0" borderId="12" xfId="38" applyFont="1" applyFill="1" applyBorder="1"/>
    <xf numFmtId="0" fontId="21" fillId="0" borderId="12" xfId="35" applyFont="1" applyBorder="1" applyAlignment="1">
      <alignment horizontal="center" vertical="center"/>
    </xf>
    <xf numFmtId="44" fontId="21" fillId="0" borderId="12" xfId="35" applyNumberFormat="1" applyFont="1" applyBorder="1" applyAlignment="1">
      <alignment horizontal="center" vertical="center"/>
    </xf>
    <xf numFmtId="0" fontId="21" fillId="0" borderId="12" xfId="35" applyFont="1" applyBorder="1"/>
    <xf numFmtId="0" fontId="21" fillId="0" borderId="13" xfId="35" applyFont="1" applyBorder="1" applyAlignment="1">
      <alignment horizontal="center" vertical="center"/>
    </xf>
    <xf numFmtId="44" fontId="21" fillId="0" borderId="13" xfId="35" applyNumberFormat="1" applyFont="1" applyBorder="1" applyAlignment="1">
      <alignment horizontal="center" vertical="center"/>
    </xf>
    <xf numFmtId="44" fontId="21" fillId="0" borderId="0" xfId="35" applyNumberFormat="1" applyFont="1" applyAlignment="1">
      <alignment horizontal="center" vertical="center"/>
    </xf>
    <xf numFmtId="0" fontId="21" fillId="35" borderId="12" xfId="35" applyFont="1" applyFill="1" applyBorder="1" applyAlignment="1">
      <alignment horizontal="center" vertical="center"/>
    </xf>
    <xf numFmtId="44" fontId="21" fillId="35" borderId="12" xfId="35" applyNumberFormat="1" applyFont="1" applyFill="1" applyBorder="1" applyAlignment="1">
      <alignment horizontal="center" vertical="center"/>
    </xf>
    <xf numFmtId="44" fontId="21" fillId="35" borderId="12" xfId="38" applyFont="1" applyFill="1" applyBorder="1" applyAlignment="1">
      <alignment horizontal="center" vertical="center"/>
    </xf>
    <xf numFmtId="0" fontId="21" fillId="0" borderId="12" xfId="35" applyFont="1" applyFill="1" applyBorder="1" applyAlignment="1">
      <alignment horizontal="center" vertical="center"/>
    </xf>
    <xf numFmtId="44" fontId="21" fillId="0" borderId="12" xfId="35" applyNumberFormat="1" applyFont="1" applyFill="1" applyBorder="1" applyAlignment="1">
      <alignment horizontal="center" vertical="center"/>
    </xf>
    <xf numFmtId="0" fontId="21" fillId="0" borderId="12" xfId="35" applyFont="1" applyFill="1" applyBorder="1"/>
    <xf numFmtId="44" fontId="21" fillId="35" borderId="0" xfId="38" applyFont="1" applyFill="1" applyBorder="1"/>
    <xf numFmtId="0" fontId="21" fillId="35" borderId="12" xfId="35" applyFont="1" applyFill="1" applyBorder="1"/>
    <xf numFmtId="44" fontId="21" fillId="35" borderId="12" xfId="38" applyFont="1" applyFill="1" applyBorder="1"/>
    <xf numFmtId="0" fontId="17" fillId="0" borderId="0" xfId="35"/>
    <xf numFmtId="44" fontId="17" fillId="0" borderId="0" xfId="38" applyFont="1" applyAlignment="1">
      <alignment horizontal="left"/>
    </xf>
    <xf numFmtId="0" fontId="17" fillId="0" borderId="0" xfId="35" applyFont="1"/>
    <xf numFmtId="44" fontId="17" fillId="0" borderId="0" xfId="38" applyFont="1" applyBorder="1" applyAlignment="1">
      <alignment horizontal="left"/>
    </xf>
    <xf numFmtId="44" fontId="20" fillId="0" borderId="0" xfId="38" applyFont="1" applyFill="1" applyBorder="1"/>
    <xf numFmtId="44" fontId="20" fillId="0" borderId="0" xfId="38" applyFont="1" applyFill="1" applyBorder="1" applyAlignment="1">
      <alignment horizontal="left"/>
    </xf>
    <xf numFmtId="44" fontId="17" fillId="0" borderId="0" xfId="38" applyFont="1" applyFill="1" applyBorder="1"/>
    <xf numFmtId="0" fontId="20" fillId="0" borderId="0" xfId="35" applyFont="1"/>
    <xf numFmtId="44" fontId="20" fillId="0" borderId="0" xfId="38" applyFont="1" applyBorder="1" applyAlignment="1">
      <alignment horizontal="left"/>
    </xf>
    <xf numFmtId="0" fontId="17" fillId="0" borderId="0" xfId="35"/>
    <xf numFmtId="0" fontId="21" fillId="0" borderId="0" xfId="35" applyFont="1"/>
    <xf numFmtId="0" fontId="21" fillId="0" borderId="0" xfId="35" applyFont="1" applyAlignment="1">
      <alignment horizontal="center" vertical="center"/>
    </xf>
    <xf numFmtId="44" fontId="21" fillId="0" borderId="0" xfId="38" applyFont="1" applyFill="1" applyBorder="1" applyAlignment="1">
      <alignment horizontal="center" vertical="center"/>
    </xf>
    <xf numFmtId="44" fontId="21" fillId="0" borderId="0" xfId="38" applyFont="1" applyFill="1" applyAlignment="1"/>
    <xf numFmtId="44" fontId="21" fillId="0" borderId="0" xfId="38" applyFont="1" applyFill="1" applyBorder="1" applyAlignment="1">
      <alignment vertical="center" wrapText="1"/>
    </xf>
    <xf numFmtId="44" fontId="21" fillId="0" borderId="0" xfId="38" applyFont="1" applyFill="1" applyBorder="1" applyAlignment="1">
      <alignment horizontal="center" vertical="center" wrapText="1"/>
    </xf>
    <xf numFmtId="44" fontId="21" fillId="0" borderId="12" xfId="38" applyFont="1" applyFill="1" applyBorder="1" applyAlignment="1">
      <alignment horizontal="center" vertical="center"/>
    </xf>
    <xf numFmtId="0" fontId="21" fillId="0" borderId="0" xfId="35" applyFont="1" applyAlignment="1">
      <alignment horizontal="center" vertical="center" wrapText="1"/>
    </xf>
    <xf numFmtId="0" fontId="21" fillId="0" borderId="12" xfId="35" applyFont="1" applyBorder="1" applyAlignment="1">
      <alignment horizontal="center" vertical="center"/>
    </xf>
    <xf numFmtId="44" fontId="21" fillId="0" borderId="12" xfId="35" applyNumberFormat="1" applyFont="1" applyBorder="1" applyAlignment="1">
      <alignment horizontal="center" vertical="center"/>
    </xf>
    <xf numFmtId="0" fontId="26" fillId="0" borderId="0" xfId="35" applyFont="1"/>
    <xf numFmtId="0" fontId="21" fillId="0" borderId="12" xfId="35" applyFont="1" applyBorder="1" applyAlignment="1">
      <alignment horizontal="center"/>
    </xf>
    <xf numFmtId="0" fontId="25" fillId="0" borderId="0" xfId="35" applyFont="1" applyAlignment="1">
      <alignment horizontal="center"/>
    </xf>
    <xf numFmtId="44" fontId="25" fillId="0" borderId="0" xfId="38" applyFont="1" applyFill="1" applyAlignment="1"/>
    <xf numFmtId="44" fontId="25" fillId="0" borderId="0" xfId="38" applyFont="1" applyFill="1" applyAlignment="1">
      <alignment horizontal="center"/>
    </xf>
    <xf numFmtId="44" fontId="25" fillId="0" borderId="0" xfId="38" applyFont="1" applyFill="1" applyBorder="1" applyAlignment="1"/>
    <xf numFmtId="44" fontId="25" fillId="0" borderId="0" xfId="38" applyFont="1" applyFill="1" applyBorder="1" applyAlignment="1">
      <alignment horizontal="center"/>
    </xf>
    <xf numFmtId="0" fontId="26" fillId="0" borderId="0" xfId="35" applyFont="1" applyAlignment="1">
      <alignment horizontal="center" vertical="center"/>
    </xf>
    <xf numFmtId="44" fontId="26" fillId="0" borderId="0" xfId="35" applyNumberFormat="1" applyFont="1" applyAlignment="1">
      <alignment horizontal="center" vertical="center"/>
    </xf>
    <xf numFmtId="0" fontId="26" fillId="0" borderId="0" xfId="35" applyFont="1" applyAlignment="1">
      <alignment horizontal="center"/>
    </xf>
    <xf numFmtId="44" fontId="26" fillId="0" borderId="0" xfId="38" applyFont="1" applyFill="1" applyAlignment="1"/>
    <xf numFmtId="44" fontId="18" fillId="0" borderId="16" xfId="38" applyFont="1" applyBorder="1" applyAlignment="1">
      <alignment horizontal="center"/>
    </xf>
    <xf numFmtId="44" fontId="18" fillId="0" borderId="17" xfId="38" applyFont="1" applyBorder="1" applyAlignment="1">
      <alignment horizontal="center"/>
    </xf>
    <xf numFmtId="0" fontId="22" fillId="34" borderId="18" xfId="35" applyFont="1" applyFill="1" applyBorder="1" applyAlignment="1">
      <alignment horizontal="center" vertical="center"/>
    </xf>
    <xf numFmtId="0" fontId="22" fillId="34" borderId="19" xfId="35" applyFont="1" applyFill="1" applyBorder="1" applyAlignment="1">
      <alignment horizontal="center" vertical="center"/>
    </xf>
    <xf numFmtId="0" fontId="22" fillId="34" borderId="20" xfId="35" applyFont="1" applyFill="1" applyBorder="1" applyAlignment="1">
      <alignment horizontal="center" vertical="center"/>
    </xf>
  </cellXfs>
  <cellStyles count="53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Ênfase1 2" xfId="41" xr:uid="{00000000-0005-0000-0000-00000C000000}"/>
    <cellStyle name="60% - Ênfase2 2" xfId="42" xr:uid="{00000000-0005-0000-0000-00000D000000}"/>
    <cellStyle name="60% - Ênfase3 2" xfId="43" xr:uid="{00000000-0005-0000-0000-00000E000000}"/>
    <cellStyle name="60% - Ênfase4 2" xfId="44" xr:uid="{00000000-0005-0000-0000-00000F000000}"/>
    <cellStyle name="60% - Ênfase5 2" xfId="45" xr:uid="{00000000-0005-0000-0000-000010000000}"/>
    <cellStyle name="60% - Ênfase6 2" xfId="46" xr:uid="{00000000-0005-0000-0000-000011000000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8" builtinId="20" customBuiltin="1"/>
    <cellStyle name="Moeda 2" xfId="48" xr:uid="{00000000-0005-0000-0000-00001E000000}"/>
    <cellStyle name="Moeda 3" xfId="38" xr:uid="{00000000-0005-0000-0000-00001F000000}"/>
    <cellStyle name="Neutra 2" xfId="40" xr:uid="{00000000-0005-0000-0000-000020000000}"/>
    <cellStyle name="Normal" xfId="0" builtinId="0"/>
    <cellStyle name="Normal 2" xfId="35" xr:uid="{00000000-0005-0000-0000-000022000000}"/>
    <cellStyle name="Normal 2 2" xfId="51" xr:uid="{00000000-0005-0000-0000-000023000000}"/>
    <cellStyle name="Normal 3" xfId="36" xr:uid="{00000000-0005-0000-0000-000024000000}"/>
    <cellStyle name="Normal 4" xfId="37" xr:uid="{00000000-0005-0000-0000-000025000000}"/>
    <cellStyle name="Normal 5" xfId="47" xr:uid="{00000000-0005-0000-0000-000026000000}"/>
    <cellStyle name="Normal 6" xfId="34" xr:uid="{00000000-0005-0000-0000-000027000000}"/>
    <cellStyle name="Nota 2" xfId="50" xr:uid="{00000000-0005-0000-0000-000028000000}"/>
    <cellStyle name="Porcentagem 2" xfId="52" xr:uid="{00000000-0005-0000-0000-000029000000}"/>
    <cellStyle name="Porcentagem 3" xfId="39" xr:uid="{00000000-0005-0000-0000-00002A000000}"/>
    <cellStyle name="Ruim" xfId="7" builtinId="27" customBuiltin="1"/>
    <cellStyle name="Saída" xfId="9" builtinId="21" customBuiltin="1"/>
    <cellStyle name="Texto de Aviso" xfId="13" builtinId="11" customBuiltin="1"/>
    <cellStyle name="Texto Explicativo" xfId="14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5" builtinId="25" customBuiltin="1"/>
    <cellStyle name="Vírgula 2" xfId="49" xr:uid="{00000000-0005-0000-0000-00003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629464795161466E-2"/>
          <c:y val="5.2604915102485592E-2"/>
          <c:w val="0.90131149065304039"/>
          <c:h val="0.8616156177015061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[1]Assertividade!$A$5:$A$26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cat>
          <c:val>
            <c:numRef>
              <c:f>[1]Assertividade!$B$5:$B$26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C-40B1-B072-B62829357E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248488"/>
        <c:axId val="221066896"/>
      </c:lineChart>
      <c:catAx>
        <c:axId val="78024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066896"/>
        <c:crosses val="autoZero"/>
        <c:auto val="0"/>
        <c:lblAlgn val="ctr"/>
        <c:lblOffset val="100"/>
        <c:noMultiLvlLbl val="0"/>
      </c:catAx>
      <c:valAx>
        <c:axId val="2210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0248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17</xdr:col>
      <xdr:colOff>400050</xdr:colOff>
      <xdr:row>20</xdr:row>
      <xdr:rowOff>166691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B53969-50FB-2D8A-03A0-0A2141610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ejamento%20Faturamento%2011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rtivida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1"/>
  <sheetViews>
    <sheetView showGridLines="0" workbookViewId="0">
      <selection activeCell="B4" sqref="B4"/>
    </sheetView>
  </sheetViews>
  <sheetFormatPr defaultRowHeight="15"/>
  <cols>
    <col min="1" max="1" width="7.28515625" bestFit="1" customWidth="1"/>
    <col min="2" max="2" width="25" bestFit="1" customWidth="1"/>
    <col min="3" max="3" width="17" bestFit="1" customWidth="1"/>
    <col min="4" max="4" width="18.28515625" bestFit="1" customWidth="1"/>
    <col min="5" max="5" width="8.140625" bestFit="1" customWidth="1"/>
    <col min="7" max="7" width="19.42578125" bestFit="1" customWidth="1"/>
    <col min="8" max="8" width="14.5703125" bestFit="1" customWidth="1"/>
    <col min="9" max="9" width="14.28515625" bestFit="1" customWidth="1"/>
    <col min="10" max="10" width="5.5703125" bestFit="1" customWidth="1"/>
  </cols>
  <sheetData>
    <row r="2" spans="1:10">
      <c r="A2" s="6"/>
      <c r="B2" s="149" t="s">
        <v>0</v>
      </c>
      <c r="C2" s="150"/>
      <c r="D2" s="20"/>
      <c r="E2" s="20"/>
      <c r="F2" s="6"/>
      <c r="G2" s="149" t="s">
        <v>1</v>
      </c>
      <c r="H2" s="150"/>
      <c r="I2" s="20"/>
      <c r="J2" s="20"/>
    </row>
    <row r="3" spans="1:10">
      <c r="A3" s="6"/>
      <c r="B3" s="14" t="s">
        <v>2</v>
      </c>
      <c r="C3" s="14" t="s">
        <v>3</v>
      </c>
      <c r="D3" s="7" t="s">
        <v>4</v>
      </c>
      <c r="E3" s="7" t="s">
        <v>5</v>
      </c>
      <c r="F3" s="6"/>
      <c r="G3" s="14" t="s">
        <v>2</v>
      </c>
      <c r="H3" s="22" t="s">
        <v>3</v>
      </c>
      <c r="I3" s="7" t="s">
        <v>4</v>
      </c>
      <c r="J3" s="7" t="s">
        <v>5</v>
      </c>
    </row>
    <row r="4" spans="1:10">
      <c r="A4" s="6"/>
      <c r="B4" s="15" t="s">
        <v>6</v>
      </c>
      <c r="C4" s="15">
        <v>88351.58</v>
      </c>
      <c r="D4" s="15"/>
      <c r="E4" s="10">
        <v>0</v>
      </c>
      <c r="F4" s="6"/>
      <c r="G4" s="15" t="s">
        <v>6</v>
      </c>
      <c r="H4" s="23">
        <v>81045.78</v>
      </c>
      <c r="I4" s="23">
        <v>44934.44000000001</v>
      </c>
      <c r="J4" s="10">
        <v>0.55443281562593405</v>
      </c>
    </row>
    <row r="5" spans="1:10">
      <c r="A5" s="6"/>
      <c r="B5" s="15" t="s">
        <v>7</v>
      </c>
      <c r="C5" s="15">
        <v>78797.714999999997</v>
      </c>
      <c r="D5" s="15"/>
      <c r="E5" s="10">
        <v>0</v>
      </c>
      <c r="F5" s="6"/>
      <c r="G5" s="15" t="s">
        <v>7</v>
      </c>
      <c r="H5" s="23">
        <v>1325.54</v>
      </c>
      <c r="I5" s="23">
        <v>0</v>
      </c>
      <c r="J5" s="10">
        <v>0</v>
      </c>
    </row>
    <row r="6" spans="1:10">
      <c r="A6" s="6"/>
      <c r="B6" s="15" t="s">
        <v>8</v>
      </c>
      <c r="C6" s="15">
        <v>0</v>
      </c>
      <c r="D6" s="15"/>
      <c r="E6" s="10">
        <v>0</v>
      </c>
      <c r="F6" s="6"/>
      <c r="G6" s="15" t="s">
        <v>8</v>
      </c>
      <c r="H6" s="23">
        <v>3530.85</v>
      </c>
      <c r="I6" s="23">
        <v>706.17</v>
      </c>
      <c r="J6" s="10">
        <v>0.19999999999999998</v>
      </c>
    </row>
    <row r="7" spans="1:10">
      <c r="A7" s="6"/>
      <c r="B7" s="15" t="s">
        <v>9</v>
      </c>
      <c r="C7" s="15">
        <v>0</v>
      </c>
      <c r="D7" s="15"/>
      <c r="E7" s="10">
        <v>0</v>
      </c>
      <c r="F7" s="6"/>
      <c r="G7" s="15" t="s">
        <v>9</v>
      </c>
      <c r="H7" s="23">
        <v>15207.428299999998</v>
      </c>
      <c r="I7" s="23">
        <v>15207.426099999999</v>
      </c>
      <c r="J7" s="10">
        <v>0.99999985533385682</v>
      </c>
    </row>
    <row r="8" spans="1:10">
      <c r="A8" s="6"/>
      <c r="B8" s="15" t="s">
        <v>10</v>
      </c>
      <c r="C8" s="15">
        <v>11353.49</v>
      </c>
      <c r="D8" s="15"/>
      <c r="E8" s="10">
        <v>0</v>
      </c>
      <c r="F8" s="6"/>
      <c r="G8" s="15" t="s">
        <v>10</v>
      </c>
      <c r="H8" s="23">
        <v>191969.41040000005</v>
      </c>
      <c r="I8" s="23">
        <v>188241.9</v>
      </c>
      <c r="J8" s="10">
        <v>0.9805827897672178</v>
      </c>
    </row>
    <row r="9" spans="1:10">
      <c r="A9" s="6"/>
      <c r="B9" s="15" t="s">
        <v>11</v>
      </c>
      <c r="C9" s="15">
        <v>45069.898000000001</v>
      </c>
      <c r="D9" s="15"/>
      <c r="E9" s="10">
        <v>0</v>
      </c>
      <c r="F9" s="6"/>
      <c r="G9" s="15" t="s">
        <v>11</v>
      </c>
      <c r="H9" s="23">
        <v>60886.944600000003</v>
      </c>
      <c r="I9" s="23">
        <v>40037.600400000003</v>
      </c>
      <c r="J9" s="10">
        <v>0.65757282883923862</v>
      </c>
    </row>
    <row r="10" spans="1:10">
      <c r="A10" s="6"/>
      <c r="B10" s="15" t="s">
        <v>12</v>
      </c>
      <c r="C10" s="15">
        <v>14165.3866</v>
      </c>
      <c r="D10" s="15"/>
      <c r="E10" s="10">
        <v>0</v>
      </c>
      <c r="F10" s="6"/>
      <c r="G10" s="15" t="s">
        <v>12</v>
      </c>
      <c r="H10" s="23">
        <v>0</v>
      </c>
      <c r="I10" s="23"/>
      <c r="J10" s="10">
        <v>0</v>
      </c>
    </row>
    <row r="11" spans="1:10">
      <c r="A11" s="6"/>
      <c r="B11" s="15" t="s">
        <v>13</v>
      </c>
      <c r="C11" s="15">
        <v>237738.06959999996</v>
      </c>
      <c r="D11" s="23">
        <v>0</v>
      </c>
      <c r="E11" s="11">
        <v>0</v>
      </c>
      <c r="F11" s="6"/>
      <c r="G11" s="15" t="s">
        <v>13</v>
      </c>
      <c r="H11" s="23">
        <v>353965.95330000005</v>
      </c>
      <c r="I11" s="23">
        <v>289127.53649999999</v>
      </c>
      <c r="J11" s="11">
        <v>0.81682301307366989</v>
      </c>
    </row>
    <row r="13" spans="1:10">
      <c r="A13" s="24" t="s">
        <v>14</v>
      </c>
      <c r="B13" s="16">
        <v>237738.06959999999</v>
      </c>
      <c r="C13" s="28">
        <v>0</v>
      </c>
      <c r="D13" s="8"/>
      <c r="E13" s="9"/>
      <c r="F13" s="6"/>
      <c r="G13" s="6"/>
      <c r="H13" s="6"/>
      <c r="I13" s="6"/>
      <c r="J13" s="6"/>
    </row>
    <row r="14" spans="1:10">
      <c r="A14" s="26" t="s">
        <v>15</v>
      </c>
      <c r="B14" s="17" t="s">
        <v>16</v>
      </c>
      <c r="C14" s="29" t="s">
        <v>17</v>
      </c>
      <c r="D14" s="18" t="s">
        <v>18</v>
      </c>
      <c r="E14" s="6" t="s">
        <v>19</v>
      </c>
      <c r="F14" s="6"/>
      <c r="G14" s="6"/>
      <c r="H14" s="6"/>
      <c r="I14" s="6"/>
      <c r="J14" s="6"/>
    </row>
    <row r="15" spans="1:10">
      <c r="A15" s="21">
        <v>200538</v>
      </c>
      <c r="B15" s="19">
        <v>1336.45</v>
      </c>
      <c r="C15" s="19"/>
      <c r="D15" s="27" t="s">
        <v>20</v>
      </c>
      <c r="E15" s="6"/>
      <c r="F15" s="6"/>
      <c r="G15" s="6"/>
      <c r="H15" s="6"/>
      <c r="I15" s="6"/>
      <c r="J15" s="6"/>
    </row>
    <row r="16" spans="1:10">
      <c r="A16" s="25">
        <v>200523</v>
      </c>
      <c r="B16" s="32">
        <v>1133.47</v>
      </c>
      <c r="C16" s="19"/>
      <c r="D16" s="27" t="s">
        <v>20</v>
      </c>
      <c r="E16" s="6"/>
      <c r="F16" s="6"/>
      <c r="G16" s="6"/>
      <c r="H16" s="6"/>
      <c r="I16" s="6"/>
      <c r="J16" s="6"/>
    </row>
    <row r="17" spans="1:5">
      <c r="A17" s="13">
        <v>200431</v>
      </c>
      <c r="B17" s="32">
        <v>2002.5</v>
      </c>
      <c r="C17" s="19"/>
      <c r="D17" s="27" t="s">
        <v>20</v>
      </c>
      <c r="E17" s="6"/>
    </row>
    <row r="18" spans="1:5">
      <c r="A18" s="13">
        <v>200543</v>
      </c>
      <c r="B18" s="32">
        <v>5492.01</v>
      </c>
      <c r="C18" s="19"/>
      <c r="D18" s="27" t="s">
        <v>20</v>
      </c>
      <c r="E18" s="6"/>
    </row>
    <row r="19" spans="1:5">
      <c r="A19" s="31">
        <v>200563</v>
      </c>
      <c r="B19" s="32">
        <v>1983.06</v>
      </c>
      <c r="C19" s="19"/>
      <c r="D19" s="27" t="s">
        <v>20</v>
      </c>
      <c r="E19" s="6"/>
    </row>
    <row r="20" spans="1:5">
      <c r="A20" s="13">
        <v>200522</v>
      </c>
      <c r="B20" s="32">
        <v>5086.79</v>
      </c>
      <c r="C20" s="19"/>
      <c r="D20" s="27" t="s">
        <v>20</v>
      </c>
      <c r="E20" s="6"/>
    </row>
    <row r="21" spans="1:5">
      <c r="A21" s="13">
        <v>200522</v>
      </c>
      <c r="B21" s="32">
        <v>59778.12</v>
      </c>
      <c r="C21" s="19"/>
      <c r="D21" s="27" t="s">
        <v>20</v>
      </c>
      <c r="E21" s="6"/>
    </row>
    <row r="22" spans="1:5">
      <c r="A22" s="13">
        <v>200555</v>
      </c>
      <c r="B22" s="32">
        <v>2203.7199999999998</v>
      </c>
      <c r="C22" s="19"/>
      <c r="D22" s="27" t="s">
        <v>20</v>
      </c>
      <c r="E22" s="6"/>
    </row>
    <row r="23" spans="1:5">
      <c r="A23" s="13">
        <v>200555</v>
      </c>
      <c r="B23" s="32">
        <v>3396.52</v>
      </c>
      <c r="C23" s="19"/>
      <c r="D23" s="27" t="s">
        <v>20</v>
      </c>
      <c r="E23" s="12"/>
    </row>
    <row r="24" spans="1:5">
      <c r="A24" s="13">
        <v>200558</v>
      </c>
      <c r="B24" s="32">
        <v>2807.13</v>
      </c>
      <c r="C24" s="19"/>
      <c r="D24" s="27" t="s">
        <v>20</v>
      </c>
      <c r="E24" s="6"/>
    </row>
    <row r="25" spans="1:5">
      <c r="A25" s="13">
        <v>200558</v>
      </c>
      <c r="B25" s="32">
        <v>3131.81</v>
      </c>
      <c r="C25" s="19"/>
      <c r="D25" s="27" t="s">
        <v>20</v>
      </c>
      <c r="E25" s="6"/>
    </row>
    <row r="26" spans="1:5">
      <c r="A26" s="21">
        <v>200427</v>
      </c>
      <c r="B26" s="32">
        <v>1325.54</v>
      </c>
      <c r="C26" s="19"/>
      <c r="D26" s="27" t="s">
        <v>21</v>
      </c>
      <c r="E26" s="6"/>
    </row>
    <row r="27" spans="1:5">
      <c r="A27" s="21">
        <v>200567</v>
      </c>
      <c r="B27" s="32">
        <v>8725.4650000000001</v>
      </c>
      <c r="C27" s="19"/>
      <c r="D27" s="27" t="s">
        <v>21</v>
      </c>
      <c r="E27" s="6"/>
    </row>
    <row r="28" spans="1:5">
      <c r="A28" s="21">
        <v>200082</v>
      </c>
      <c r="B28" s="32">
        <v>1269.3399999999999</v>
      </c>
      <c r="C28" s="19"/>
      <c r="D28" s="27" t="s">
        <v>21</v>
      </c>
      <c r="E28" s="6"/>
    </row>
    <row r="29" spans="1:5">
      <c r="A29" s="21">
        <v>199995</v>
      </c>
      <c r="B29" s="32">
        <v>4988.29</v>
      </c>
      <c r="C29" s="19"/>
      <c r="D29" s="27" t="s">
        <v>21</v>
      </c>
      <c r="E29" s="6"/>
    </row>
    <row r="30" spans="1:5">
      <c r="A30" s="21">
        <v>200537</v>
      </c>
      <c r="B30" s="32">
        <v>1901.42</v>
      </c>
      <c r="C30" s="19"/>
      <c r="D30" s="27" t="s">
        <v>21</v>
      </c>
      <c r="E30" s="6"/>
    </row>
    <row r="31" spans="1:5">
      <c r="A31" s="21">
        <v>200437</v>
      </c>
      <c r="B31" s="32">
        <v>6220.95</v>
      </c>
      <c r="C31" s="19"/>
      <c r="D31" s="27" t="s">
        <v>21</v>
      </c>
      <c r="E31" s="6"/>
    </row>
    <row r="32" spans="1:5">
      <c r="A32" s="21">
        <v>200549</v>
      </c>
      <c r="B32" s="32">
        <v>5649.22</v>
      </c>
      <c r="C32" s="19"/>
      <c r="D32" s="27" t="s">
        <v>21</v>
      </c>
      <c r="E32" s="6"/>
    </row>
    <row r="33" spans="1:4">
      <c r="A33" s="21">
        <v>199685</v>
      </c>
      <c r="B33" s="32">
        <v>2639.9</v>
      </c>
      <c r="C33" s="19"/>
      <c r="D33" s="27" t="s">
        <v>21</v>
      </c>
    </row>
    <row r="34" spans="1:4">
      <c r="A34" s="21">
        <v>200539</v>
      </c>
      <c r="B34" s="32">
        <v>15498.17</v>
      </c>
      <c r="C34" s="19"/>
      <c r="D34" s="27" t="s">
        <v>21</v>
      </c>
    </row>
    <row r="35" spans="1:4">
      <c r="A35" s="21">
        <v>200415</v>
      </c>
      <c r="B35" s="32">
        <v>8911.9500000000007</v>
      </c>
      <c r="C35" s="19"/>
      <c r="D35" s="27" t="s">
        <v>21</v>
      </c>
    </row>
    <row r="36" spans="1:4">
      <c r="A36" s="21">
        <v>200139</v>
      </c>
      <c r="B36" s="32">
        <v>1425.97</v>
      </c>
      <c r="C36" s="19"/>
      <c r="D36" s="27" t="s">
        <v>21</v>
      </c>
    </row>
    <row r="37" spans="1:4">
      <c r="A37" s="21">
        <v>199896</v>
      </c>
      <c r="B37" s="32">
        <v>3359.03</v>
      </c>
      <c r="C37" s="19"/>
      <c r="D37" s="27" t="s">
        <v>21</v>
      </c>
    </row>
    <row r="38" spans="1:4">
      <c r="A38" s="21">
        <v>200524</v>
      </c>
      <c r="B38" s="32">
        <v>11687.82</v>
      </c>
      <c r="C38" s="30"/>
      <c r="D38" s="27" t="s">
        <v>21</v>
      </c>
    </row>
    <row r="39" spans="1:4">
      <c r="A39" s="21">
        <v>200278</v>
      </c>
      <c r="B39" s="32">
        <v>5194.6499999999996</v>
      </c>
      <c r="C39" s="30"/>
      <c r="D39" s="27" t="s">
        <v>21</v>
      </c>
    </row>
    <row r="40" spans="1:4">
      <c r="A40" s="21" t="s">
        <v>22</v>
      </c>
      <c r="B40" s="32">
        <v>11353.49</v>
      </c>
      <c r="C40" s="30"/>
      <c r="D40" s="27" t="s">
        <v>23</v>
      </c>
    </row>
    <row r="41" spans="1:4">
      <c r="A41" s="21" t="s">
        <v>24</v>
      </c>
      <c r="B41" s="32">
        <v>13459.274800000001</v>
      </c>
      <c r="C41" s="30"/>
      <c r="D41" s="30" t="s">
        <v>25</v>
      </c>
    </row>
    <row r="42" spans="1:4">
      <c r="A42" s="21" t="s">
        <v>26</v>
      </c>
      <c r="B42" s="32">
        <v>8928.0443999999989</v>
      </c>
      <c r="C42" s="30"/>
      <c r="D42" s="30" t="s">
        <v>25</v>
      </c>
    </row>
    <row r="43" spans="1:4">
      <c r="A43" s="21" t="s">
        <v>27</v>
      </c>
      <c r="B43" s="32">
        <v>8094.965400000001</v>
      </c>
      <c r="C43" s="30"/>
      <c r="D43" s="30" t="s">
        <v>25</v>
      </c>
    </row>
    <row r="44" spans="1:4">
      <c r="A44" s="21" t="s">
        <v>28</v>
      </c>
      <c r="B44" s="32">
        <v>7903.6488000000008</v>
      </c>
      <c r="C44" s="30"/>
      <c r="D44" s="30" t="s">
        <v>25</v>
      </c>
    </row>
    <row r="45" spans="1:4">
      <c r="A45" s="21" t="s">
        <v>29</v>
      </c>
      <c r="B45" s="32">
        <v>6683.9645999999993</v>
      </c>
      <c r="C45" s="30"/>
      <c r="D45" s="30" t="s">
        <v>25</v>
      </c>
    </row>
    <row r="46" spans="1:4">
      <c r="A46" s="21" t="s">
        <v>30</v>
      </c>
      <c r="B46" s="32">
        <v>14165.3866</v>
      </c>
      <c r="C46" s="30"/>
      <c r="D46" s="30" t="s">
        <v>31</v>
      </c>
    </row>
    <row r="47" spans="1:4">
      <c r="A47" s="21"/>
      <c r="B47" s="32"/>
      <c r="C47" s="30"/>
      <c r="D47" s="30"/>
    </row>
    <row r="48" spans="1:4">
      <c r="A48" s="21"/>
      <c r="B48" s="32"/>
      <c r="C48" s="30"/>
      <c r="D48" s="30"/>
    </row>
    <row r="49" spans="1:4">
      <c r="A49" s="21"/>
      <c r="B49" s="32"/>
      <c r="C49" s="30"/>
      <c r="D49" s="30"/>
    </row>
    <row r="50" spans="1:4">
      <c r="A50" s="21"/>
      <c r="B50" s="32"/>
      <c r="C50" s="30"/>
      <c r="D50" s="30"/>
    </row>
    <row r="51" spans="1:4">
      <c r="A51" s="21"/>
      <c r="B51" s="32"/>
      <c r="C51" s="30"/>
      <c r="D51" s="30"/>
    </row>
  </sheetData>
  <mergeCells count="2">
    <mergeCell ref="B2:C2"/>
    <mergeCell ref="G2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showGridLines="0" workbookViewId="0">
      <selection activeCell="D7" sqref="D7"/>
    </sheetView>
  </sheetViews>
  <sheetFormatPr defaultRowHeight="15"/>
  <cols>
    <col min="1" max="1" width="5.7109375" bestFit="1" customWidth="1"/>
    <col min="2" max="2" width="11.7109375" bestFit="1" customWidth="1"/>
  </cols>
  <sheetData>
    <row r="1" spans="1:15" ht="15.75" thickBo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6.5" thickBot="1">
      <c r="A2" s="35"/>
      <c r="B2" s="35"/>
      <c r="C2" s="35"/>
      <c r="D2" s="151" t="s">
        <v>32</v>
      </c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3"/>
    </row>
    <row r="3" spans="1:15">
      <c r="A3" s="35"/>
      <c r="B3" s="41">
        <v>0.52800000000000002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>
      <c r="A4" s="38" t="s">
        <v>33</v>
      </c>
      <c r="B4" s="38" t="s">
        <v>34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>
      <c r="A5" s="39">
        <v>45964</v>
      </c>
      <c r="B5" s="40">
        <v>0.18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>
      <c r="A6" s="39">
        <v>45965</v>
      </c>
      <c r="B6" s="40">
        <v>0.84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>
      <c r="A7" s="39">
        <v>45966</v>
      </c>
      <c r="B7" s="40">
        <v>0.5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>
      <c r="A8" s="39">
        <v>45968</v>
      </c>
      <c r="B8" s="40">
        <v>0.3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5">
      <c r="A9" s="39">
        <v>45971</v>
      </c>
      <c r="B9" s="40">
        <v>0.82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5">
      <c r="A10" s="39"/>
      <c r="B10" s="40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>
      <c r="A11" s="39"/>
      <c r="B11" s="40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>
      <c r="A12" s="39"/>
      <c r="B12" s="40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>
      <c r="A13" s="39"/>
      <c r="B13" s="40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>
      <c r="A14" s="39"/>
      <c r="B14" s="40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5">
      <c r="A15" s="39"/>
      <c r="B15" s="40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5">
      <c r="A16" s="39"/>
      <c r="B16" s="40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15">
      <c r="A17" s="39"/>
      <c r="B17" s="40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spans="1:15">
      <c r="A18" s="39"/>
      <c r="B18" s="40"/>
      <c r="C18" s="35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15">
      <c r="A19" s="39"/>
      <c r="B19" s="40"/>
      <c r="C19" s="35"/>
      <c r="D19" s="36"/>
      <c r="E19" s="36"/>
      <c r="F19" s="36"/>
      <c r="G19" s="36"/>
      <c r="H19" s="36"/>
      <c r="I19" s="36"/>
      <c r="J19" s="36"/>
      <c r="K19" s="35"/>
      <c r="L19" s="35"/>
      <c r="M19" s="35"/>
      <c r="N19" s="35"/>
      <c r="O19" s="35"/>
    </row>
    <row r="20" spans="1:15">
      <c r="A20" s="39"/>
      <c r="B20" s="40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>
      <c r="A21" s="39"/>
      <c r="B21" s="40"/>
      <c r="C21" s="35"/>
      <c r="D21" s="37"/>
      <c r="E21" s="37"/>
      <c r="F21" s="37"/>
      <c r="G21" s="37"/>
      <c r="H21" s="37"/>
      <c r="I21" s="37"/>
      <c r="J21" s="37"/>
      <c r="K21" s="35"/>
      <c r="L21" s="35"/>
      <c r="M21" s="35"/>
      <c r="N21" s="35"/>
      <c r="O21" s="35"/>
    </row>
    <row r="22" spans="1:15">
      <c r="A22" s="39"/>
      <c r="B22" s="40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1:15">
      <c r="A23" s="39"/>
      <c r="B23" s="40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>
      <c r="A24" s="39"/>
      <c r="B24" s="40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5">
      <c r="A25" s="39"/>
      <c r="B25" s="40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15">
      <c r="A26" s="39"/>
      <c r="B26" s="40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</sheetData>
  <mergeCells count="1">
    <mergeCell ref="D2:O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showGridLines="0" workbookViewId="0">
      <selection sqref="A1:XFD1048576"/>
    </sheetView>
  </sheetViews>
  <sheetFormatPr defaultRowHeight="15"/>
  <cols>
    <col min="1" max="1" width="7" bestFit="1" customWidth="1"/>
    <col min="2" max="2" width="9" bestFit="1" customWidth="1"/>
    <col min="3" max="3" width="44.28515625" bestFit="1" customWidth="1"/>
    <col min="4" max="4" width="8.28515625" bestFit="1" customWidth="1"/>
    <col min="5" max="5" width="8.42578125" bestFit="1" customWidth="1"/>
    <col min="6" max="6" width="8.5703125" bestFit="1" customWidth="1"/>
    <col min="7" max="7" width="8.7109375" bestFit="1" customWidth="1"/>
    <col min="8" max="8" width="8.85546875" bestFit="1" customWidth="1"/>
    <col min="9" max="9" width="7.5703125" bestFit="1" customWidth="1"/>
    <col min="10" max="11" width="12.28515625" bestFit="1" customWidth="1"/>
    <col min="12" max="13" width="10.42578125" bestFit="1" customWidth="1"/>
    <col min="15" max="15" width="6.85546875" bestFit="1" customWidth="1"/>
    <col min="16" max="16" width="8.28515625" bestFit="1" customWidth="1"/>
    <col min="17" max="17" width="4.140625" bestFit="1" customWidth="1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7">
        <v>105607.86000000003</v>
      </c>
      <c r="K1" s="47">
        <v>275754.90000000002</v>
      </c>
      <c r="L1" s="42"/>
      <c r="M1" s="42"/>
      <c r="N1" s="42"/>
      <c r="O1" s="42"/>
      <c r="P1" s="42"/>
      <c r="Q1" s="42"/>
    </row>
    <row r="2" spans="1:17" ht="38.25">
      <c r="A2" s="44" t="s">
        <v>15</v>
      </c>
      <c r="B2" s="45" t="s">
        <v>35</v>
      </c>
      <c r="C2" s="44" t="s">
        <v>36</v>
      </c>
      <c r="D2" s="44" t="s">
        <v>37</v>
      </c>
      <c r="E2" s="44" t="s">
        <v>38</v>
      </c>
      <c r="F2" s="48" t="s">
        <v>39</v>
      </c>
      <c r="G2" s="44" t="s">
        <v>40</v>
      </c>
      <c r="H2" s="44" t="s">
        <v>41</v>
      </c>
      <c r="I2" s="44" t="s">
        <v>42</v>
      </c>
      <c r="J2" s="49" t="s">
        <v>43</v>
      </c>
      <c r="K2" s="50" t="s">
        <v>44</v>
      </c>
      <c r="L2" s="46" t="s">
        <v>45</v>
      </c>
      <c r="M2" s="46" t="s">
        <v>46</v>
      </c>
      <c r="N2" s="44" t="s">
        <v>47</v>
      </c>
      <c r="O2" s="44" t="s">
        <v>48</v>
      </c>
      <c r="P2" s="44" t="s">
        <v>49</v>
      </c>
      <c r="Q2" s="43" t="s">
        <v>50</v>
      </c>
    </row>
    <row r="3" spans="1:17">
      <c r="A3" s="52">
        <v>200242</v>
      </c>
      <c r="B3" s="53">
        <v>30672022</v>
      </c>
      <c r="C3" s="52" t="s">
        <v>51</v>
      </c>
      <c r="D3" s="52">
        <v>5</v>
      </c>
      <c r="E3" s="52">
        <v>5</v>
      </c>
      <c r="F3" s="54">
        <v>13</v>
      </c>
      <c r="G3" s="52">
        <v>0</v>
      </c>
      <c r="H3" s="52">
        <v>0</v>
      </c>
      <c r="I3" s="52" t="s">
        <v>52</v>
      </c>
      <c r="J3" s="55">
        <v>3792.65</v>
      </c>
      <c r="K3" s="47">
        <v>12426.11</v>
      </c>
      <c r="L3" s="56">
        <v>45961</v>
      </c>
      <c r="M3" s="56">
        <v>45968</v>
      </c>
      <c r="N3" s="52">
        <v>11</v>
      </c>
      <c r="O3" s="52">
        <v>11</v>
      </c>
      <c r="P3" s="52">
        <v>4</v>
      </c>
      <c r="Q3" s="52"/>
    </row>
    <row r="4" spans="1:17">
      <c r="A4" s="52">
        <v>200408</v>
      </c>
      <c r="B4" s="53">
        <v>30672022</v>
      </c>
      <c r="C4" s="52" t="s">
        <v>51</v>
      </c>
      <c r="D4" s="52">
        <v>1</v>
      </c>
      <c r="E4" s="52">
        <v>1</v>
      </c>
      <c r="F4" s="54">
        <v>13</v>
      </c>
      <c r="G4" s="52">
        <v>0</v>
      </c>
      <c r="H4" s="52">
        <v>0</v>
      </c>
      <c r="I4" s="52" t="s">
        <v>52</v>
      </c>
      <c r="J4" s="55">
        <v>852.32</v>
      </c>
      <c r="K4" s="47">
        <v>5599.28</v>
      </c>
      <c r="L4" s="56">
        <v>45965</v>
      </c>
      <c r="M4" s="56">
        <v>45972</v>
      </c>
      <c r="N4" s="52">
        <v>7</v>
      </c>
      <c r="O4" s="52">
        <v>7</v>
      </c>
      <c r="P4" s="52">
        <v>0</v>
      </c>
      <c r="Q4" s="52"/>
    </row>
    <row r="5" spans="1:17">
      <c r="A5" s="52">
        <v>200522</v>
      </c>
      <c r="B5" s="51">
        <v>10440222</v>
      </c>
      <c r="C5" s="52" t="s">
        <v>53</v>
      </c>
      <c r="D5" s="52">
        <v>3</v>
      </c>
      <c r="E5" s="52">
        <v>3</v>
      </c>
      <c r="F5" s="54">
        <v>120</v>
      </c>
      <c r="G5" s="52">
        <v>0</v>
      </c>
      <c r="H5" s="52">
        <v>0</v>
      </c>
      <c r="I5" s="52" t="s">
        <v>52</v>
      </c>
      <c r="J5" s="55">
        <v>5086.79</v>
      </c>
      <c r="K5" s="47">
        <v>67521.72</v>
      </c>
      <c r="L5" s="56">
        <v>45967</v>
      </c>
      <c r="M5" s="56">
        <v>45974</v>
      </c>
      <c r="N5" s="52">
        <v>5</v>
      </c>
      <c r="O5" s="52">
        <v>5</v>
      </c>
      <c r="P5" s="52">
        <v>-2</v>
      </c>
      <c r="Q5" s="52"/>
    </row>
    <row r="6" spans="1:17">
      <c r="A6" s="52">
        <v>200522</v>
      </c>
      <c r="B6" s="51">
        <v>10445910</v>
      </c>
      <c r="C6" s="52" t="s">
        <v>54</v>
      </c>
      <c r="D6" s="52">
        <v>45</v>
      </c>
      <c r="E6" s="52">
        <v>45</v>
      </c>
      <c r="F6" s="54">
        <v>47</v>
      </c>
      <c r="G6" s="52">
        <v>0</v>
      </c>
      <c r="H6" s="52">
        <v>0</v>
      </c>
      <c r="I6" s="52" t="s">
        <v>52</v>
      </c>
      <c r="J6" s="55">
        <v>59778.12</v>
      </c>
      <c r="K6" s="47">
        <v>67521.72</v>
      </c>
      <c r="L6" s="56">
        <v>45967</v>
      </c>
      <c r="M6" s="56">
        <v>45974</v>
      </c>
      <c r="N6" s="52">
        <v>5</v>
      </c>
      <c r="O6" s="52">
        <v>5</v>
      </c>
      <c r="P6" s="52">
        <v>-2</v>
      </c>
      <c r="Q6" s="52"/>
    </row>
    <row r="7" spans="1:17">
      <c r="A7" s="52">
        <v>200555</v>
      </c>
      <c r="B7" s="51">
        <v>10440072</v>
      </c>
      <c r="C7" s="52" t="s">
        <v>55</v>
      </c>
      <c r="D7" s="52">
        <v>4</v>
      </c>
      <c r="E7" s="52">
        <v>4</v>
      </c>
      <c r="F7" s="54">
        <v>648</v>
      </c>
      <c r="G7" s="52">
        <v>0</v>
      </c>
      <c r="H7" s="52">
        <v>0</v>
      </c>
      <c r="I7" s="52" t="s">
        <v>52</v>
      </c>
      <c r="J7" s="55">
        <v>2203.7199999999998</v>
      </c>
      <c r="K7" s="47">
        <v>22353.41</v>
      </c>
      <c r="L7" s="56">
        <v>45968</v>
      </c>
      <c r="M7" s="56">
        <v>45975</v>
      </c>
      <c r="N7" s="52">
        <v>4</v>
      </c>
      <c r="O7" s="52">
        <v>4</v>
      </c>
      <c r="P7" s="52">
        <v>-3</v>
      </c>
      <c r="Q7" s="52"/>
    </row>
    <row r="8" spans="1:17">
      <c r="A8" s="52">
        <v>200555</v>
      </c>
      <c r="B8" s="51">
        <v>10440073</v>
      </c>
      <c r="C8" s="52" t="s">
        <v>56</v>
      </c>
      <c r="D8" s="52">
        <v>6</v>
      </c>
      <c r="E8" s="52">
        <v>6</v>
      </c>
      <c r="F8" s="54">
        <v>504</v>
      </c>
      <c r="G8" s="52">
        <v>0</v>
      </c>
      <c r="H8" s="52">
        <v>0</v>
      </c>
      <c r="I8" s="52" t="s">
        <v>52</v>
      </c>
      <c r="J8" s="55">
        <v>3396.52</v>
      </c>
      <c r="K8" s="47">
        <v>22353.41</v>
      </c>
      <c r="L8" s="56">
        <v>45968</v>
      </c>
      <c r="M8" s="56">
        <v>45975</v>
      </c>
      <c r="N8" s="52">
        <v>4</v>
      </c>
      <c r="O8" s="52">
        <v>4</v>
      </c>
      <c r="P8" s="52">
        <v>-3</v>
      </c>
      <c r="Q8" s="52"/>
    </row>
    <row r="9" spans="1:17">
      <c r="A9" s="52">
        <v>200555</v>
      </c>
      <c r="B9" s="53">
        <v>30673019</v>
      </c>
      <c r="C9" s="52" t="s">
        <v>57</v>
      </c>
      <c r="D9" s="52">
        <v>1</v>
      </c>
      <c r="E9" s="52">
        <v>1</v>
      </c>
      <c r="F9" s="54">
        <v>12</v>
      </c>
      <c r="G9" s="52">
        <v>0</v>
      </c>
      <c r="H9" s="52">
        <v>0</v>
      </c>
      <c r="I9" s="52" t="s">
        <v>52</v>
      </c>
      <c r="J9" s="55">
        <v>617.96</v>
      </c>
      <c r="K9" s="47">
        <v>22353.41</v>
      </c>
      <c r="L9" s="56">
        <v>45968</v>
      </c>
      <c r="M9" s="56">
        <v>45975</v>
      </c>
      <c r="N9" s="52">
        <v>4</v>
      </c>
      <c r="O9" s="52">
        <v>4</v>
      </c>
      <c r="P9" s="52">
        <v>-3</v>
      </c>
      <c r="Q9" s="52"/>
    </row>
    <row r="10" spans="1:17">
      <c r="A10" s="52">
        <v>200558</v>
      </c>
      <c r="B10" s="51">
        <v>10440072</v>
      </c>
      <c r="C10" s="52" t="s">
        <v>55</v>
      </c>
      <c r="D10" s="52">
        <v>5</v>
      </c>
      <c r="E10" s="52">
        <v>5</v>
      </c>
      <c r="F10" s="54">
        <v>648</v>
      </c>
      <c r="G10" s="52">
        <v>0</v>
      </c>
      <c r="H10" s="52">
        <v>0</v>
      </c>
      <c r="I10" s="52" t="s">
        <v>52</v>
      </c>
      <c r="J10" s="55">
        <v>2807.13</v>
      </c>
      <c r="K10" s="47">
        <v>14866.99</v>
      </c>
      <c r="L10" s="56">
        <v>45968</v>
      </c>
      <c r="M10" s="56">
        <v>45975</v>
      </c>
      <c r="N10" s="52">
        <v>4</v>
      </c>
      <c r="O10" s="52">
        <v>4</v>
      </c>
      <c r="P10" s="52">
        <v>-3</v>
      </c>
      <c r="Q10" s="52"/>
    </row>
    <row r="11" spans="1:17">
      <c r="A11" s="52">
        <v>200558</v>
      </c>
      <c r="B11" s="51">
        <v>10440073</v>
      </c>
      <c r="C11" s="52" t="s">
        <v>56</v>
      </c>
      <c r="D11" s="52">
        <v>5</v>
      </c>
      <c r="E11" s="52">
        <v>5</v>
      </c>
      <c r="F11" s="54">
        <v>504</v>
      </c>
      <c r="G11" s="52">
        <v>0</v>
      </c>
      <c r="H11" s="52">
        <v>0</v>
      </c>
      <c r="I11" s="52" t="s">
        <v>52</v>
      </c>
      <c r="J11" s="55">
        <v>3131.81</v>
      </c>
      <c r="K11" s="47">
        <v>14866.99</v>
      </c>
      <c r="L11" s="56">
        <v>45968</v>
      </c>
      <c r="M11" s="56">
        <v>45975</v>
      </c>
      <c r="N11" s="52">
        <v>4</v>
      </c>
      <c r="O11" s="52">
        <v>4</v>
      </c>
      <c r="P11" s="52">
        <v>-3</v>
      </c>
      <c r="Q11" s="52"/>
    </row>
    <row r="12" spans="1:17">
      <c r="A12" s="57">
        <v>200195</v>
      </c>
      <c r="B12" s="58" t="s">
        <v>58</v>
      </c>
      <c r="C12" s="57" t="s">
        <v>51</v>
      </c>
      <c r="D12" s="57">
        <v>20</v>
      </c>
      <c r="E12" s="57">
        <v>20</v>
      </c>
      <c r="F12" s="59">
        <v>13</v>
      </c>
      <c r="G12" s="57">
        <v>0</v>
      </c>
      <c r="H12" s="57">
        <v>0</v>
      </c>
      <c r="I12" s="57" t="s">
        <v>52</v>
      </c>
      <c r="J12" s="60">
        <v>16414.29</v>
      </c>
      <c r="K12" s="61">
        <v>16414.29</v>
      </c>
      <c r="L12" s="62">
        <v>45960</v>
      </c>
      <c r="M12" s="62">
        <v>45967</v>
      </c>
      <c r="N12" s="57">
        <v>12</v>
      </c>
      <c r="O12" s="57">
        <v>12</v>
      </c>
      <c r="P12" s="57">
        <v>5</v>
      </c>
      <c r="Q12" s="52"/>
    </row>
    <row r="13" spans="1:17">
      <c r="A13" s="57">
        <v>200431</v>
      </c>
      <c r="B13" s="63" t="s">
        <v>59</v>
      </c>
      <c r="C13" s="57" t="s">
        <v>53</v>
      </c>
      <c r="D13" s="57">
        <v>1</v>
      </c>
      <c r="E13" s="57">
        <v>1</v>
      </c>
      <c r="F13" s="59">
        <v>120</v>
      </c>
      <c r="G13" s="57">
        <v>0</v>
      </c>
      <c r="H13" s="57">
        <v>0</v>
      </c>
      <c r="I13" s="57" t="s">
        <v>52</v>
      </c>
      <c r="J13" s="60">
        <v>2002.5</v>
      </c>
      <c r="K13" s="61">
        <v>2002.5</v>
      </c>
      <c r="L13" s="62">
        <v>45966</v>
      </c>
      <c r="M13" s="62">
        <v>45973</v>
      </c>
      <c r="N13" s="57">
        <v>6</v>
      </c>
      <c r="O13" s="57">
        <v>6</v>
      </c>
      <c r="P13" s="57">
        <v>-1</v>
      </c>
      <c r="Q13" s="52"/>
    </row>
    <row r="14" spans="1:17">
      <c r="A14" s="57">
        <v>200543</v>
      </c>
      <c r="B14" s="63" t="s">
        <v>60</v>
      </c>
      <c r="C14" s="57" t="s">
        <v>56</v>
      </c>
      <c r="D14" s="57">
        <v>5</v>
      </c>
      <c r="E14" s="57">
        <v>5</v>
      </c>
      <c r="F14" s="59">
        <v>504</v>
      </c>
      <c r="G14" s="57">
        <v>0</v>
      </c>
      <c r="H14" s="57">
        <v>0</v>
      </c>
      <c r="I14" s="57" t="s">
        <v>52</v>
      </c>
      <c r="J14" s="60">
        <v>3540.99</v>
      </c>
      <c r="K14" s="61">
        <v>5492.01</v>
      </c>
      <c r="L14" s="62">
        <v>45968</v>
      </c>
      <c r="M14" s="62">
        <v>45975</v>
      </c>
      <c r="N14" s="57">
        <v>4</v>
      </c>
      <c r="O14" s="57">
        <v>4</v>
      </c>
      <c r="P14" s="57">
        <v>-3</v>
      </c>
      <c r="Q14" s="52"/>
    </row>
    <row r="15" spans="1:17">
      <c r="A15" s="57">
        <v>200563</v>
      </c>
      <c r="B15" s="63" t="s">
        <v>61</v>
      </c>
      <c r="C15" s="57" t="s">
        <v>62</v>
      </c>
      <c r="D15" s="57">
        <v>2</v>
      </c>
      <c r="E15" s="57">
        <v>2</v>
      </c>
      <c r="F15" s="59">
        <v>4</v>
      </c>
      <c r="G15" s="57"/>
      <c r="H15" s="57"/>
      <c r="I15" s="57" t="s">
        <v>52</v>
      </c>
      <c r="J15" s="60">
        <v>1983.06</v>
      </c>
      <c r="K15" s="61">
        <v>1983.06</v>
      </c>
      <c r="L15" s="62">
        <v>45968</v>
      </c>
      <c r="M15" s="62">
        <v>45975</v>
      </c>
      <c r="N15" s="57">
        <v>4</v>
      </c>
      <c r="O15" s="57">
        <v>4</v>
      </c>
      <c r="P15" s="57">
        <v>-3</v>
      </c>
      <c r="Q15" s="5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showGridLines="0" workbookViewId="0">
      <selection sqref="A1:XFD1048576"/>
    </sheetView>
  </sheetViews>
  <sheetFormatPr defaultRowHeight="15"/>
  <cols>
    <col min="1" max="1" width="7" bestFit="1" customWidth="1"/>
    <col min="2" max="2" width="9" bestFit="1" customWidth="1"/>
    <col min="3" max="3" width="51.7109375" bestFit="1" customWidth="1"/>
    <col min="4" max="4" width="8.28515625" bestFit="1" customWidth="1"/>
    <col min="5" max="5" width="8.42578125" bestFit="1" customWidth="1"/>
    <col min="6" max="6" width="8.5703125" bestFit="1" customWidth="1"/>
    <col min="7" max="7" width="8.7109375" bestFit="1" customWidth="1"/>
    <col min="8" max="8" width="8.85546875" bestFit="1" customWidth="1"/>
    <col min="9" max="9" width="7.5703125" bestFit="1" customWidth="1"/>
    <col min="10" max="11" width="12.42578125" bestFit="1" customWidth="1"/>
    <col min="12" max="13" width="10.42578125" bestFit="1" customWidth="1"/>
    <col min="15" max="15" width="6.85546875" bestFit="1" customWidth="1"/>
    <col min="16" max="16" width="8.28515625" bestFit="1" customWidth="1"/>
    <col min="17" max="17" width="3.85546875" bestFit="1" customWidth="1"/>
  </cols>
  <sheetData>
    <row r="1" spans="1:17">
      <c r="A1" s="64"/>
      <c r="B1" s="64"/>
      <c r="C1" s="64"/>
      <c r="D1" s="64"/>
      <c r="E1" s="68"/>
      <c r="F1" s="64"/>
      <c r="G1" s="68"/>
      <c r="H1" s="68"/>
      <c r="I1" s="64"/>
      <c r="J1" s="69">
        <v>56553.29</v>
      </c>
      <c r="K1" s="69">
        <v>89925.14999999998</v>
      </c>
      <c r="L1" s="64"/>
      <c r="M1" s="64"/>
      <c r="N1" s="64"/>
      <c r="O1" s="64"/>
      <c r="P1" s="64"/>
      <c r="Q1" s="64"/>
    </row>
    <row r="2" spans="1:17" ht="38.25">
      <c r="A2" s="71" t="s">
        <v>15</v>
      </c>
      <c r="B2" s="72" t="s">
        <v>35</v>
      </c>
      <c r="C2" s="71" t="s">
        <v>36</v>
      </c>
      <c r="D2" s="71" t="s">
        <v>37</v>
      </c>
      <c r="E2" s="71" t="s">
        <v>38</v>
      </c>
      <c r="F2" s="71" t="s">
        <v>39</v>
      </c>
      <c r="G2" s="71" t="s">
        <v>40</v>
      </c>
      <c r="H2" s="71" t="s">
        <v>41</v>
      </c>
      <c r="I2" s="71" t="s">
        <v>42</v>
      </c>
      <c r="J2" s="73" t="s">
        <v>43</v>
      </c>
      <c r="K2" s="73" t="s">
        <v>44</v>
      </c>
      <c r="L2" s="74" t="s">
        <v>45</v>
      </c>
      <c r="M2" s="74" t="s">
        <v>46</v>
      </c>
      <c r="N2" s="71" t="s">
        <v>47</v>
      </c>
      <c r="O2" s="71" t="s">
        <v>48</v>
      </c>
      <c r="P2" s="71" t="s">
        <v>49</v>
      </c>
      <c r="Q2" s="75" t="s">
        <v>63</v>
      </c>
    </row>
    <row r="3" spans="1:17">
      <c r="A3" s="65">
        <v>200567</v>
      </c>
      <c r="B3" s="77" t="s">
        <v>64</v>
      </c>
      <c r="C3" s="78" t="s">
        <v>65</v>
      </c>
      <c r="D3" s="65">
        <v>2</v>
      </c>
      <c r="E3" s="65">
        <v>2</v>
      </c>
      <c r="F3" s="65">
        <v>1</v>
      </c>
      <c r="G3" s="64"/>
      <c r="H3" s="64"/>
      <c r="I3" s="70" t="s">
        <v>52</v>
      </c>
      <c r="J3" s="76">
        <v>17450.93</v>
      </c>
      <c r="K3" s="69">
        <v>17450.93</v>
      </c>
      <c r="L3" s="67">
        <v>45968</v>
      </c>
      <c r="M3" s="67">
        <v>45983</v>
      </c>
      <c r="N3" s="64"/>
      <c r="O3" s="65">
        <v>4</v>
      </c>
      <c r="P3" s="65">
        <v>-11</v>
      </c>
      <c r="Q3" s="64"/>
    </row>
    <row r="4" spans="1:17">
      <c r="A4" s="65">
        <v>200082</v>
      </c>
      <c r="B4" s="77" t="s">
        <v>66</v>
      </c>
      <c r="C4" s="78" t="s">
        <v>67</v>
      </c>
      <c r="D4" s="65">
        <v>1</v>
      </c>
      <c r="E4" s="65">
        <v>1</v>
      </c>
      <c r="F4" s="65">
        <v>1</v>
      </c>
      <c r="G4" s="64"/>
      <c r="H4" s="64"/>
      <c r="I4" s="70" t="s">
        <v>52</v>
      </c>
      <c r="J4" s="76">
        <v>1269.3399999999999</v>
      </c>
      <c r="K4" s="69">
        <v>1269.3399999999999</v>
      </c>
      <c r="L4" s="67">
        <v>45959</v>
      </c>
      <c r="M4" s="67">
        <v>45989</v>
      </c>
      <c r="N4" s="64"/>
      <c r="O4" s="65">
        <v>13</v>
      </c>
      <c r="P4" s="65">
        <v>-17</v>
      </c>
      <c r="Q4" s="64"/>
    </row>
    <row r="5" spans="1:17">
      <c r="A5" s="65">
        <v>199995</v>
      </c>
      <c r="B5" s="77" t="s">
        <v>68</v>
      </c>
      <c r="C5" s="78" t="s">
        <v>69</v>
      </c>
      <c r="D5" s="65">
        <v>3</v>
      </c>
      <c r="E5" s="65">
        <v>3</v>
      </c>
      <c r="F5" s="65">
        <v>18</v>
      </c>
      <c r="G5" s="64"/>
      <c r="H5" s="64"/>
      <c r="I5" s="70" t="s">
        <v>52</v>
      </c>
      <c r="J5" s="76">
        <v>4085.84</v>
      </c>
      <c r="K5" s="69">
        <v>4988.29</v>
      </c>
      <c r="L5" s="67">
        <v>45958</v>
      </c>
      <c r="M5" s="67">
        <v>45973</v>
      </c>
      <c r="N5" s="64"/>
      <c r="O5" s="65">
        <v>14</v>
      </c>
      <c r="P5" s="65">
        <v>-1</v>
      </c>
      <c r="Q5" s="64"/>
    </row>
    <row r="6" spans="1:17">
      <c r="A6" s="65">
        <v>200537</v>
      </c>
      <c r="B6" s="77" t="s">
        <v>68</v>
      </c>
      <c r="C6" s="78" t="s">
        <v>69</v>
      </c>
      <c r="D6" s="65">
        <v>1</v>
      </c>
      <c r="E6" s="65">
        <v>1</v>
      </c>
      <c r="F6" s="65">
        <v>18</v>
      </c>
      <c r="G6" s="64"/>
      <c r="H6" s="64"/>
      <c r="I6" s="70" t="s">
        <v>52</v>
      </c>
      <c r="J6" s="76">
        <v>1901.42</v>
      </c>
      <c r="K6" s="69">
        <v>1901.42</v>
      </c>
      <c r="L6" s="67">
        <v>45968</v>
      </c>
      <c r="M6" s="67">
        <v>45983</v>
      </c>
      <c r="N6" s="64"/>
      <c r="O6" s="65">
        <v>4</v>
      </c>
      <c r="P6" s="65">
        <v>-11</v>
      </c>
      <c r="Q6" s="64"/>
    </row>
    <row r="7" spans="1:17">
      <c r="A7" s="65">
        <v>200437</v>
      </c>
      <c r="B7" s="77" t="s">
        <v>70</v>
      </c>
      <c r="C7" s="78" t="s">
        <v>71</v>
      </c>
      <c r="D7" s="65">
        <v>1</v>
      </c>
      <c r="E7" s="65">
        <v>1</v>
      </c>
      <c r="F7" s="65">
        <v>1</v>
      </c>
      <c r="G7" s="64"/>
      <c r="H7" s="64"/>
      <c r="I7" s="70" t="s">
        <v>52</v>
      </c>
      <c r="J7" s="76">
        <v>6220.95</v>
      </c>
      <c r="K7" s="69">
        <v>6220.95</v>
      </c>
      <c r="L7" s="67">
        <v>45966</v>
      </c>
      <c r="M7" s="67">
        <v>45981</v>
      </c>
      <c r="N7" s="64"/>
      <c r="O7" s="65">
        <v>6</v>
      </c>
      <c r="P7" s="65">
        <v>-9</v>
      </c>
      <c r="Q7" s="64"/>
    </row>
    <row r="8" spans="1:17">
      <c r="A8" s="65">
        <v>200549</v>
      </c>
      <c r="B8" s="77" t="s">
        <v>72</v>
      </c>
      <c r="C8" s="78" t="s">
        <v>73</v>
      </c>
      <c r="D8" s="65">
        <v>2</v>
      </c>
      <c r="E8" s="65">
        <v>2</v>
      </c>
      <c r="F8" s="65">
        <v>2</v>
      </c>
      <c r="G8" s="64"/>
      <c r="H8" s="64"/>
      <c r="I8" s="70" t="s">
        <v>52</v>
      </c>
      <c r="J8" s="76">
        <v>5649.22</v>
      </c>
      <c r="K8" s="69">
        <v>5649.22</v>
      </c>
      <c r="L8" s="67">
        <v>45968</v>
      </c>
      <c r="M8" s="67">
        <v>45998</v>
      </c>
      <c r="N8" s="64"/>
      <c r="O8" s="65">
        <v>4</v>
      </c>
      <c r="P8" s="65">
        <v>-26</v>
      </c>
      <c r="Q8" s="64"/>
    </row>
    <row r="9" spans="1:17">
      <c r="A9" s="65">
        <v>199685</v>
      </c>
      <c r="B9" s="77" t="s">
        <v>74</v>
      </c>
      <c r="C9" s="78" t="s">
        <v>75</v>
      </c>
      <c r="D9" s="65">
        <v>1</v>
      </c>
      <c r="E9" s="65">
        <v>1</v>
      </c>
      <c r="F9" s="65">
        <v>1</v>
      </c>
      <c r="G9" s="64"/>
      <c r="H9" s="64"/>
      <c r="I9" s="70" t="s">
        <v>52</v>
      </c>
      <c r="J9" s="76">
        <v>2639.9</v>
      </c>
      <c r="K9" s="69">
        <v>2639.9</v>
      </c>
      <c r="L9" s="67">
        <v>45950</v>
      </c>
      <c r="M9" s="67">
        <v>45965</v>
      </c>
      <c r="N9" s="64"/>
      <c r="O9" s="65">
        <v>22</v>
      </c>
      <c r="P9" s="65">
        <v>7</v>
      </c>
      <c r="Q9" s="64"/>
    </row>
    <row r="10" spans="1:17">
      <c r="A10" s="65">
        <v>200539</v>
      </c>
      <c r="B10" s="77" t="s">
        <v>76</v>
      </c>
      <c r="C10" s="78" t="s">
        <v>77</v>
      </c>
      <c r="D10" s="65">
        <v>1</v>
      </c>
      <c r="E10" s="65">
        <v>1</v>
      </c>
      <c r="F10" s="65">
        <v>6</v>
      </c>
      <c r="G10" s="70">
        <v>0</v>
      </c>
      <c r="H10" s="70">
        <v>0</v>
      </c>
      <c r="I10" s="70" t="s">
        <v>52</v>
      </c>
      <c r="J10" s="76">
        <v>1332.79</v>
      </c>
      <c r="K10" s="69">
        <v>15498.17</v>
      </c>
      <c r="L10" s="67">
        <v>45968</v>
      </c>
      <c r="M10" s="67">
        <v>45983</v>
      </c>
      <c r="N10" s="64"/>
      <c r="O10" s="65">
        <v>4</v>
      </c>
      <c r="P10" s="65">
        <v>-11</v>
      </c>
      <c r="Q10" s="64"/>
    </row>
    <row r="11" spans="1:17">
      <c r="A11" s="65">
        <v>200415</v>
      </c>
      <c r="B11" s="77" t="s">
        <v>78</v>
      </c>
      <c r="C11" s="78" t="s">
        <v>79</v>
      </c>
      <c r="D11" s="65">
        <v>1</v>
      </c>
      <c r="E11" s="65">
        <v>1</v>
      </c>
      <c r="F11" s="65">
        <v>1</v>
      </c>
      <c r="G11" s="70">
        <v>0</v>
      </c>
      <c r="H11" s="70">
        <v>0</v>
      </c>
      <c r="I11" s="70" t="s">
        <v>52</v>
      </c>
      <c r="J11" s="76">
        <v>2227.9899999999998</v>
      </c>
      <c r="K11" s="69">
        <v>8911.9500000000007</v>
      </c>
      <c r="L11" s="67">
        <v>45966</v>
      </c>
      <c r="M11" s="67">
        <v>45973</v>
      </c>
      <c r="N11" s="64"/>
      <c r="O11" s="65">
        <v>6</v>
      </c>
      <c r="P11" s="65">
        <v>-1</v>
      </c>
      <c r="Q11" s="64"/>
    </row>
    <row r="12" spans="1:17">
      <c r="A12" s="65">
        <v>200139</v>
      </c>
      <c r="B12" s="77" t="s">
        <v>80</v>
      </c>
      <c r="C12" s="78" t="s">
        <v>81</v>
      </c>
      <c r="D12" s="65">
        <v>1</v>
      </c>
      <c r="E12" s="65">
        <v>1</v>
      </c>
      <c r="F12" s="65">
        <v>1</v>
      </c>
      <c r="G12" s="64"/>
      <c r="H12" s="64"/>
      <c r="I12" s="70" t="s">
        <v>52</v>
      </c>
      <c r="J12" s="76">
        <v>1425.97</v>
      </c>
      <c r="K12" s="69">
        <v>1425.97</v>
      </c>
      <c r="L12" s="67">
        <v>45960</v>
      </c>
      <c r="M12" s="67">
        <v>45975</v>
      </c>
      <c r="N12" s="64"/>
      <c r="O12" s="65">
        <v>12</v>
      </c>
      <c r="P12" s="65">
        <v>-3</v>
      </c>
      <c r="Q12" s="64"/>
    </row>
    <row r="13" spans="1:17">
      <c r="A13" s="65">
        <v>199896</v>
      </c>
      <c r="B13" s="77" t="s">
        <v>82</v>
      </c>
      <c r="C13" s="78" t="s">
        <v>83</v>
      </c>
      <c r="D13" s="65">
        <v>2</v>
      </c>
      <c r="E13" s="65">
        <v>2</v>
      </c>
      <c r="F13" s="65">
        <v>4</v>
      </c>
      <c r="G13" s="64"/>
      <c r="H13" s="64"/>
      <c r="I13" s="70" t="s">
        <v>52</v>
      </c>
      <c r="J13" s="76">
        <v>2108.77</v>
      </c>
      <c r="K13" s="69">
        <v>3359.03</v>
      </c>
      <c r="L13" s="67">
        <v>45956</v>
      </c>
      <c r="M13" s="67">
        <v>45971</v>
      </c>
      <c r="N13" s="64"/>
      <c r="O13" s="65">
        <v>16</v>
      </c>
      <c r="P13" s="65">
        <v>1</v>
      </c>
      <c r="Q13" s="64"/>
    </row>
    <row r="14" spans="1:17">
      <c r="A14" s="65">
        <v>200524</v>
      </c>
      <c r="B14" s="77" t="s">
        <v>84</v>
      </c>
      <c r="C14" s="78" t="s">
        <v>85</v>
      </c>
      <c r="D14" s="65">
        <v>2</v>
      </c>
      <c r="E14" s="65">
        <v>2</v>
      </c>
      <c r="F14" s="65">
        <v>2</v>
      </c>
      <c r="G14" s="64"/>
      <c r="H14" s="64"/>
      <c r="I14" s="70" t="s">
        <v>52</v>
      </c>
      <c r="J14" s="76">
        <v>3592.86</v>
      </c>
      <c r="K14" s="69">
        <v>11687.82</v>
      </c>
      <c r="L14" s="67">
        <v>45967</v>
      </c>
      <c r="M14" s="67">
        <v>45997</v>
      </c>
      <c r="N14" s="64"/>
      <c r="O14" s="65">
        <v>5</v>
      </c>
      <c r="P14" s="65">
        <v>-25</v>
      </c>
      <c r="Q14" s="64"/>
    </row>
    <row r="15" spans="1:17">
      <c r="A15" s="65">
        <v>200278</v>
      </c>
      <c r="B15" s="77" t="s">
        <v>86</v>
      </c>
      <c r="C15" s="78" t="s">
        <v>87</v>
      </c>
      <c r="D15" s="65">
        <v>2</v>
      </c>
      <c r="E15" s="65">
        <v>2</v>
      </c>
      <c r="F15" s="65">
        <v>2</v>
      </c>
      <c r="G15" s="64"/>
      <c r="H15" s="64"/>
      <c r="I15" s="70" t="s">
        <v>52</v>
      </c>
      <c r="J15" s="76">
        <v>2919.8</v>
      </c>
      <c r="K15" s="69">
        <v>5194.6499999999996</v>
      </c>
      <c r="L15" s="67">
        <v>45964</v>
      </c>
      <c r="M15" s="67">
        <v>45979</v>
      </c>
      <c r="N15" s="64"/>
      <c r="O15" s="65">
        <v>8</v>
      </c>
      <c r="P15" s="65">
        <v>-7</v>
      </c>
      <c r="Q15" s="64"/>
    </row>
    <row r="16" spans="1:17">
      <c r="A16" s="65">
        <v>199067</v>
      </c>
      <c r="B16" s="66" t="s">
        <v>58</v>
      </c>
      <c r="C16" s="65" t="s">
        <v>51</v>
      </c>
      <c r="D16" s="65">
        <v>5</v>
      </c>
      <c r="E16" s="65">
        <v>5</v>
      </c>
      <c r="F16" s="65">
        <v>13</v>
      </c>
      <c r="G16" s="70">
        <v>0</v>
      </c>
      <c r="H16" s="70">
        <v>0</v>
      </c>
      <c r="I16" s="70" t="s">
        <v>52</v>
      </c>
      <c r="J16" s="76">
        <v>3727.51</v>
      </c>
      <c r="K16" s="69">
        <v>3727.51</v>
      </c>
      <c r="L16" s="67">
        <v>45961</v>
      </c>
      <c r="M16" s="67">
        <v>45943</v>
      </c>
      <c r="N16" s="64"/>
      <c r="O16" s="65">
        <v>11</v>
      </c>
      <c r="P16" s="65">
        <v>29</v>
      </c>
      <c r="Q16" s="64"/>
    </row>
    <row r="17" spans="1:16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</row>
    <row r="20" spans="1:16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>
      <c r="A21" s="64"/>
      <c r="B21" s="64"/>
      <c r="C21" s="64"/>
      <c r="D21" s="64"/>
      <c r="E21" s="64"/>
      <c r="F21" s="64"/>
      <c r="G21" s="64"/>
      <c r="H21" s="64"/>
      <c r="I21" s="79"/>
      <c r="J21" s="64"/>
      <c r="K21" s="64"/>
      <c r="L21" s="64"/>
      <c r="M21" s="64"/>
      <c r="N21" s="64"/>
      <c r="O21" s="64"/>
      <c r="P21" s="6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>
      <selection activeCell="C4" sqref="C4"/>
    </sheetView>
  </sheetViews>
  <sheetFormatPr defaultRowHeight="15"/>
  <cols>
    <col min="1" max="1" width="8" bestFit="1" customWidth="1"/>
    <col min="2" max="2" width="9" bestFit="1" customWidth="1"/>
    <col min="3" max="3" width="39.140625" bestFit="1" customWidth="1"/>
    <col min="4" max="4" width="8.5703125" bestFit="1" customWidth="1"/>
    <col min="5" max="5" width="8.7109375" bestFit="1" customWidth="1"/>
    <col min="6" max="6" width="8.85546875" bestFit="1" customWidth="1"/>
    <col min="7" max="7" width="8.28515625" bestFit="1" customWidth="1"/>
    <col min="8" max="8" width="9.28515625" bestFit="1" customWidth="1"/>
    <col min="9" max="9" width="7.5703125" bestFit="1" customWidth="1"/>
    <col min="10" max="11" width="13.5703125" bestFit="1" customWidth="1"/>
    <col min="12" max="13" width="10.7109375" bestFit="1" customWidth="1"/>
    <col min="14" max="14" width="6.5703125" bestFit="1" customWidth="1"/>
    <col min="15" max="15" width="7.42578125" bestFit="1" customWidth="1"/>
    <col min="16" max="16" width="9" bestFit="1" customWidth="1"/>
  </cols>
  <sheetData>
    <row r="1" spans="1:16">
      <c r="A1" s="80"/>
      <c r="B1" s="80"/>
      <c r="C1" s="80"/>
      <c r="D1" s="80"/>
      <c r="E1" s="80"/>
      <c r="F1" s="80"/>
      <c r="G1" s="82"/>
      <c r="H1" s="82"/>
      <c r="I1" s="80"/>
      <c r="J1" s="4">
        <v>103277.47</v>
      </c>
      <c r="K1" s="4">
        <v>461851.87000000005</v>
      </c>
      <c r="L1" s="80"/>
      <c r="M1" s="80"/>
      <c r="N1" s="80"/>
      <c r="O1" s="80"/>
      <c r="P1" s="80"/>
    </row>
    <row r="2" spans="1:16" ht="38.25">
      <c r="A2" s="3" t="s">
        <v>88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3" t="s">
        <v>43</v>
      </c>
      <c r="K2" s="33" t="s">
        <v>44</v>
      </c>
      <c r="L2" s="1" t="s">
        <v>45</v>
      </c>
      <c r="M2" s="1" t="s">
        <v>46</v>
      </c>
      <c r="N2" s="3" t="s">
        <v>47</v>
      </c>
      <c r="O2" s="3" t="s">
        <v>48</v>
      </c>
      <c r="P2" s="3" t="s">
        <v>49</v>
      </c>
    </row>
    <row r="3" spans="1:16">
      <c r="A3" s="34">
        <v>199003</v>
      </c>
      <c r="B3" s="34" t="s">
        <v>89</v>
      </c>
      <c r="C3" s="34" t="s">
        <v>57</v>
      </c>
      <c r="D3" s="34">
        <v>4</v>
      </c>
      <c r="E3" s="34">
        <v>4</v>
      </c>
      <c r="F3" s="34">
        <v>12</v>
      </c>
      <c r="G3" s="34">
        <v>0</v>
      </c>
      <c r="H3" s="34">
        <v>0</v>
      </c>
      <c r="I3" s="34" t="s">
        <v>52</v>
      </c>
      <c r="J3" s="5">
        <v>2824.68</v>
      </c>
      <c r="K3" s="5">
        <v>61210.82</v>
      </c>
      <c r="L3" s="2">
        <v>45964</v>
      </c>
      <c r="M3" s="2">
        <v>45940</v>
      </c>
      <c r="N3" s="34" t="s">
        <v>52</v>
      </c>
      <c r="O3" s="34">
        <v>8</v>
      </c>
      <c r="P3" s="34">
        <v>32</v>
      </c>
    </row>
    <row r="4" spans="1:16">
      <c r="A4" s="80">
        <v>200098</v>
      </c>
      <c r="B4" s="80" t="s">
        <v>68</v>
      </c>
      <c r="C4" s="80" t="s">
        <v>69</v>
      </c>
      <c r="D4" s="80">
        <v>7</v>
      </c>
      <c r="E4" s="80">
        <v>7</v>
      </c>
      <c r="F4" s="80">
        <v>18</v>
      </c>
      <c r="G4" s="80"/>
      <c r="H4" s="80"/>
      <c r="I4" s="80" t="s">
        <v>52</v>
      </c>
      <c r="J4" s="4">
        <v>9965.65</v>
      </c>
      <c r="K4" s="4">
        <v>56155.48</v>
      </c>
      <c r="L4" s="81">
        <v>45959</v>
      </c>
      <c r="M4" s="81">
        <v>45974</v>
      </c>
      <c r="N4" s="80" t="s">
        <v>52</v>
      </c>
      <c r="O4" s="80">
        <v>13</v>
      </c>
      <c r="P4" s="80">
        <v>-2</v>
      </c>
    </row>
    <row r="5" spans="1:16">
      <c r="A5" s="80">
        <v>200349</v>
      </c>
      <c r="B5" s="80" t="s">
        <v>68</v>
      </c>
      <c r="C5" s="80" t="s">
        <v>69</v>
      </c>
      <c r="D5" s="80">
        <v>1</v>
      </c>
      <c r="E5" s="80">
        <v>1</v>
      </c>
      <c r="F5" s="80">
        <v>18</v>
      </c>
      <c r="G5" s="80"/>
      <c r="H5" s="80"/>
      <c r="I5" s="80" t="s">
        <v>52</v>
      </c>
      <c r="J5" s="4">
        <v>1467.65</v>
      </c>
      <c r="K5" s="4">
        <v>6664.85</v>
      </c>
      <c r="L5" s="81">
        <v>45965</v>
      </c>
      <c r="M5" s="81">
        <v>45980</v>
      </c>
      <c r="N5" s="80" t="s">
        <v>52</v>
      </c>
      <c r="O5" s="80">
        <v>7</v>
      </c>
      <c r="P5" s="80">
        <v>-8</v>
      </c>
    </row>
    <row r="6" spans="1:16">
      <c r="A6" s="80">
        <v>200349</v>
      </c>
      <c r="B6" s="80" t="s">
        <v>90</v>
      </c>
      <c r="C6" s="80" t="s">
        <v>91</v>
      </c>
      <c r="D6" s="80">
        <v>1</v>
      </c>
      <c r="E6" s="80">
        <v>1</v>
      </c>
      <c r="F6" s="80">
        <v>6</v>
      </c>
      <c r="G6" s="80">
        <v>0</v>
      </c>
      <c r="H6" s="80">
        <v>0</v>
      </c>
      <c r="I6" s="80" t="s">
        <v>52</v>
      </c>
      <c r="J6" s="4">
        <v>1959.04</v>
      </c>
      <c r="K6" s="4">
        <v>6664.85</v>
      </c>
      <c r="L6" s="81">
        <v>45965</v>
      </c>
      <c r="M6" s="81">
        <v>45980</v>
      </c>
      <c r="N6" s="80" t="s">
        <v>52</v>
      </c>
      <c r="O6" s="80">
        <v>7</v>
      </c>
      <c r="P6" s="80">
        <v>-8</v>
      </c>
    </row>
    <row r="7" spans="1:16">
      <c r="A7" s="80">
        <v>200349</v>
      </c>
      <c r="B7" s="80" t="s">
        <v>92</v>
      </c>
      <c r="C7" s="80" t="s">
        <v>93</v>
      </c>
      <c r="D7" s="80">
        <v>1</v>
      </c>
      <c r="E7" s="80">
        <v>1</v>
      </c>
      <c r="F7" s="80">
        <v>5</v>
      </c>
      <c r="G7" s="80"/>
      <c r="H7" s="80"/>
      <c r="I7" s="80" t="s">
        <v>52</v>
      </c>
      <c r="J7" s="4">
        <v>1770.4</v>
      </c>
      <c r="K7" s="4">
        <v>6664.85</v>
      </c>
      <c r="L7" s="81">
        <v>45965</v>
      </c>
      <c r="M7" s="81">
        <v>45980</v>
      </c>
      <c r="N7" s="80" t="s">
        <v>52</v>
      </c>
      <c r="O7" s="80">
        <v>7</v>
      </c>
      <c r="P7" s="80">
        <v>-8</v>
      </c>
    </row>
    <row r="8" spans="1:16">
      <c r="A8" s="80">
        <v>200351</v>
      </c>
      <c r="B8" s="80" t="s">
        <v>68</v>
      </c>
      <c r="C8" s="80" t="s">
        <v>69</v>
      </c>
      <c r="D8" s="80">
        <v>1</v>
      </c>
      <c r="E8" s="80">
        <v>1</v>
      </c>
      <c r="F8" s="80">
        <v>18</v>
      </c>
      <c r="G8" s="80"/>
      <c r="H8" s="80"/>
      <c r="I8" s="80" t="s">
        <v>52</v>
      </c>
      <c r="J8" s="4">
        <v>1467.65</v>
      </c>
      <c r="K8" s="4">
        <v>4705.79</v>
      </c>
      <c r="L8" s="81">
        <v>45965</v>
      </c>
      <c r="M8" s="81">
        <v>45980</v>
      </c>
      <c r="N8" s="80" t="s">
        <v>52</v>
      </c>
      <c r="O8" s="80">
        <v>7</v>
      </c>
      <c r="P8" s="80">
        <v>-8</v>
      </c>
    </row>
    <row r="9" spans="1:16">
      <c r="A9" s="80">
        <v>200351</v>
      </c>
      <c r="B9" s="80" t="s">
        <v>92</v>
      </c>
      <c r="C9" s="80" t="s">
        <v>93</v>
      </c>
      <c r="D9" s="80">
        <v>1</v>
      </c>
      <c r="E9" s="80">
        <v>1</v>
      </c>
      <c r="F9" s="80">
        <v>5</v>
      </c>
      <c r="G9" s="80"/>
      <c r="H9" s="80"/>
      <c r="I9" s="80" t="s">
        <v>52</v>
      </c>
      <c r="J9" s="4">
        <v>1770.4</v>
      </c>
      <c r="K9" s="4">
        <v>4705.79</v>
      </c>
      <c r="L9" s="81">
        <v>45965</v>
      </c>
      <c r="M9" s="81">
        <v>45980</v>
      </c>
      <c r="N9" s="80" t="s">
        <v>52</v>
      </c>
      <c r="O9" s="80">
        <v>7</v>
      </c>
      <c r="P9" s="80">
        <v>-8</v>
      </c>
    </row>
    <row r="10" spans="1:16">
      <c r="A10" s="80">
        <v>200449</v>
      </c>
      <c r="B10" s="80" t="s">
        <v>94</v>
      </c>
      <c r="C10" s="80" t="s">
        <v>95</v>
      </c>
      <c r="D10" s="80">
        <v>2</v>
      </c>
      <c r="E10" s="80">
        <v>2</v>
      </c>
      <c r="F10" s="80">
        <v>10</v>
      </c>
      <c r="G10" s="80"/>
      <c r="H10" s="80"/>
      <c r="I10" s="80" t="s">
        <v>52</v>
      </c>
      <c r="J10" s="4">
        <v>4856.45</v>
      </c>
      <c r="K10" s="4">
        <v>64152.62</v>
      </c>
      <c r="L10" s="81">
        <v>45966</v>
      </c>
      <c r="M10" s="81">
        <v>45981</v>
      </c>
      <c r="N10" s="80" t="s">
        <v>52</v>
      </c>
      <c r="O10" s="80">
        <v>6</v>
      </c>
      <c r="P10" s="80">
        <v>-9</v>
      </c>
    </row>
    <row r="11" spans="1:16">
      <c r="A11" s="80">
        <v>200523</v>
      </c>
      <c r="B11" s="80" t="s">
        <v>96</v>
      </c>
      <c r="C11" s="80" t="s">
        <v>97</v>
      </c>
      <c r="D11" s="80">
        <v>1</v>
      </c>
      <c r="E11" s="80">
        <v>1</v>
      </c>
      <c r="F11" s="80">
        <v>2</v>
      </c>
      <c r="G11" s="80">
        <v>0</v>
      </c>
      <c r="H11" s="80">
        <v>0</v>
      </c>
      <c r="I11" s="80" t="s">
        <v>52</v>
      </c>
      <c r="J11" s="4">
        <v>1120.27</v>
      </c>
      <c r="K11" s="4">
        <v>27136.5</v>
      </c>
      <c r="L11" s="81">
        <v>45967</v>
      </c>
      <c r="M11" s="81">
        <v>45982</v>
      </c>
      <c r="N11" s="80" t="s">
        <v>52</v>
      </c>
      <c r="O11" s="80">
        <v>5</v>
      </c>
      <c r="P11" s="80">
        <v>-10</v>
      </c>
    </row>
    <row r="12" spans="1:16">
      <c r="A12" s="80">
        <v>200523</v>
      </c>
      <c r="B12" s="80" t="s">
        <v>98</v>
      </c>
      <c r="C12" s="80" t="s">
        <v>99</v>
      </c>
      <c r="D12" s="80">
        <v>1</v>
      </c>
      <c r="E12" s="80">
        <v>1</v>
      </c>
      <c r="F12" s="80">
        <v>1</v>
      </c>
      <c r="G12" s="80"/>
      <c r="H12" s="80"/>
      <c r="I12" s="80" t="s">
        <v>52</v>
      </c>
      <c r="J12" s="4">
        <v>1506.78</v>
      </c>
      <c r="K12" s="4">
        <v>27136.5</v>
      </c>
      <c r="L12" s="81">
        <v>45967</v>
      </c>
      <c r="M12" s="81">
        <v>45982</v>
      </c>
      <c r="N12" s="80" t="s">
        <v>52</v>
      </c>
      <c r="O12" s="80">
        <v>5</v>
      </c>
      <c r="P12" s="80">
        <v>-10</v>
      </c>
    </row>
    <row r="13" spans="1:16">
      <c r="A13" s="80">
        <v>200531</v>
      </c>
      <c r="B13" s="80" t="s">
        <v>100</v>
      </c>
      <c r="C13" s="80" t="s">
        <v>101</v>
      </c>
      <c r="D13" s="80">
        <v>1</v>
      </c>
      <c r="E13" s="80">
        <v>1</v>
      </c>
      <c r="F13" s="80">
        <v>1</v>
      </c>
      <c r="G13" s="80"/>
      <c r="H13" s="80"/>
      <c r="I13" s="80" t="s">
        <v>52</v>
      </c>
      <c r="J13" s="4">
        <v>2539</v>
      </c>
      <c r="K13" s="4">
        <v>4765</v>
      </c>
      <c r="L13" s="81">
        <v>45968</v>
      </c>
      <c r="M13" s="81">
        <v>45983</v>
      </c>
      <c r="N13" s="80" t="s">
        <v>52</v>
      </c>
      <c r="O13" s="80">
        <v>4</v>
      </c>
      <c r="P13" s="80">
        <v>-11</v>
      </c>
    </row>
    <row r="14" spans="1:16">
      <c r="A14" s="80">
        <v>200531</v>
      </c>
      <c r="B14" s="80" t="s">
        <v>102</v>
      </c>
      <c r="C14" s="80" t="s">
        <v>103</v>
      </c>
      <c r="D14" s="80">
        <v>1</v>
      </c>
      <c r="E14" s="80">
        <v>1</v>
      </c>
      <c r="F14" s="80">
        <v>10</v>
      </c>
      <c r="G14" s="80">
        <v>0</v>
      </c>
      <c r="H14" s="80">
        <v>0</v>
      </c>
      <c r="I14" s="80" t="s">
        <v>52</v>
      </c>
      <c r="J14" s="4">
        <v>2226</v>
      </c>
      <c r="K14" s="4">
        <v>4765</v>
      </c>
      <c r="L14" s="81">
        <v>45968</v>
      </c>
      <c r="M14" s="81">
        <v>45983</v>
      </c>
      <c r="N14" s="80" t="s">
        <v>52</v>
      </c>
      <c r="O14" s="80">
        <v>4</v>
      </c>
      <c r="P14" s="80">
        <v>-11</v>
      </c>
    </row>
    <row r="15" spans="1:16">
      <c r="A15" s="80">
        <v>200546</v>
      </c>
      <c r="B15" s="80" t="s">
        <v>76</v>
      </c>
      <c r="C15" s="80" t="s">
        <v>77</v>
      </c>
      <c r="D15" s="80">
        <v>1</v>
      </c>
      <c r="E15" s="80">
        <v>1</v>
      </c>
      <c r="F15" s="80">
        <v>6</v>
      </c>
      <c r="G15" s="80">
        <v>0</v>
      </c>
      <c r="H15" s="80">
        <v>0</v>
      </c>
      <c r="I15" s="80" t="s">
        <v>52</v>
      </c>
      <c r="J15" s="4">
        <v>1796.63</v>
      </c>
      <c r="K15" s="4">
        <v>4168.8500000000004</v>
      </c>
      <c r="L15" s="81">
        <v>45968</v>
      </c>
      <c r="M15" s="81">
        <v>45983</v>
      </c>
      <c r="N15" s="80" t="s">
        <v>52</v>
      </c>
      <c r="O15" s="80">
        <v>4</v>
      </c>
      <c r="P15" s="80">
        <v>-11</v>
      </c>
    </row>
    <row r="16" spans="1:16">
      <c r="A16" s="80">
        <v>200559</v>
      </c>
      <c r="B16" s="80" t="s">
        <v>68</v>
      </c>
      <c r="C16" s="80" t="s">
        <v>69</v>
      </c>
      <c r="D16" s="80">
        <v>2</v>
      </c>
      <c r="E16" s="80">
        <v>2</v>
      </c>
      <c r="F16" s="80">
        <v>18</v>
      </c>
      <c r="G16" s="80"/>
      <c r="H16" s="80"/>
      <c r="I16" s="80" t="s">
        <v>52</v>
      </c>
      <c r="J16" s="4">
        <v>3195.89</v>
      </c>
      <c r="K16" s="4">
        <v>13761.77</v>
      </c>
      <c r="L16" s="81">
        <v>45968</v>
      </c>
      <c r="M16" s="81">
        <v>45983</v>
      </c>
      <c r="N16" s="80" t="s">
        <v>52</v>
      </c>
      <c r="O16" s="80">
        <v>4</v>
      </c>
      <c r="P16" s="80">
        <v>-11</v>
      </c>
    </row>
    <row r="17" spans="1:16">
      <c r="A17" s="80">
        <v>200559</v>
      </c>
      <c r="B17" s="80" t="s">
        <v>102</v>
      </c>
      <c r="C17" s="80" t="s">
        <v>103</v>
      </c>
      <c r="D17" s="80">
        <v>2</v>
      </c>
      <c r="E17" s="80">
        <v>2</v>
      </c>
      <c r="F17" s="80">
        <v>10</v>
      </c>
      <c r="G17" s="80">
        <v>0</v>
      </c>
      <c r="H17" s="80">
        <v>0</v>
      </c>
      <c r="I17" s="80" t="s">
        <v>52</v>
      </c>
      <c r="J17" s="4">
        <v>4998.51</v>
      </c>
      <c r="K17" s="4">
        <v>13761.77</v>
      </c>
      <c r="L17" s="81">
        <v>45968</v>
      </c>
      <c r="M17" s="81">
        <v>45983</v>
      </c>
      <c r="N17" s="80" t="s">
        <v>52</v>
      </c>
      <c r="O17" s="80">
        <v>4</v>
      </c>
      <c r="P17" s="80">
        <v>-11</v>
      </c>
    </row>
    <row r="18" spans="1:16">
      <c r="A18" s="80">
        <v>200559</v>
      </c>
      <c r="B18" s="80" t="s">
        <v>104</v>
      </c>
      <c r="C18" s="80" t="s">
        <v>105</v>
      </c>
      <c r="D18" s="80">
        <v>1</v>
      </c>
      <c r="E18" s="80">
        <v>1</v>
      </c>
      <c r="F18" s="80">
        <v>3</v>
      </c>
      <c r="G18" s="80">
        <v>0</v>
      </c>
      <c r="H18" s="80">
        <v>0</v>
      </c>
      <c r="I18" s="80" t="s">
        <v>52</v>
      </c>
      <c r="J18" s="4">
        <v>1774.72</v>
      </c>
      <c r="K18" s="4">
        <v>13761.77</v>
      </c>
      <c r="L18" s="81">
        <v>45968</v>
      </c>
      <c r="M18" s="81">
        <v>45983</v>
      </c>
      <c r="N18" s="80" t="s">
        <v>52</v>
      </c>
      <c r="O18" s="80">
        <v>4</v>
      </c>
      <c r="P18" s="80">
        <v>-11</v>
      </c>
    </row>
    <row r="19" spans="1:16">
      <c r="A19" s="80">
        <v>200081</v>
      </c>
      <c r="B19" s="80" t="s">
        <v>106</v>
      </c>
      <c r="C19" s="80" t="s">
        <v>107</v>
      </c>
      <c r="D19" s="80">
        <v>4</v>
      </c>
      <c r="E19" s="80">
        <v>4</v>
      </c>
      <c r="F19" s="80">
        <v>4</v>
      </c>
      <c r="G19" s="80"/>
      <c r="H19" s="80"/>
      <c r="I19" s="80" t="s">
        <v>52</v>
      </c>
      <c r="J19" s="4">
        <v>15568.04</v>
      </c>
      <c r="K19" s="4">
        <v>29604.5</v>
      </c>
      <c r="L19" s="81">
        <v>45959</v>
      </c>
      <c r="M19" s="81">
        <v>45989</v>
      </c>
      <c r="N19" s="80" t="s">
        <v>52</v>
      </c>
      <c r="O19" s="80">
        <v>13</v>
      </c>
      <c r="P19" s="80">
        <v>-17</v>
      </c>
    </row>
    <row r="20" spans="1:16">
      <c r="A20" s="80">
        <v>200441</v>
      </c>
      <c r="B20" s="80" t="s">
        <v>108</v>
      </c>
      <c r="C20" s="80" t="s">
        <v>109</v>
      </c>
      <c r="D20" s="80">
        <v>2</v>
      </c>
      <c r="E20" s="80">
        <v>2</v>
      </c>
      <c r="F20" s="80">
        <v>3</v>
      </c>
      <c r="G20" s="80"/>
      <c r="H20" s="80"/>
      <c r="I20" s="80" t="s">
        <v>52</v>
      </c>
      <c r="J20" s="4">
        <v>28314.78</v>
      </c>
      <c r="K20" s="4">
        <v>47912.54</v>
      </c>
      <c r="L20" s="81">
        <v>45966</v>
      </c>
      <c r="M20" s="81">
        <v>45996</v>
      </c>
      <c r="N20" s="80" t="s">
        <v>52</v>
      </c>
      <c r="O20" s="80">
        <v>6</v>
      </c>
      <c r="P20" s="80">
        <v>-24</v>
      </c>
    </row>
    <row r="21" spans="1:16">
      <c r="A21" s="80">
        <v>200449</v>
      </c>
      <c r="B21" s="80" t="s">
        <v>108</v>
      </c>
      <c r="C21" s="80" t="s">
        <v>109</v>
      </c>
      <c r="D21" s="80">
        <v>1</v>
      </c>
      <c r="E21" s="80">
        <v>1</v>
      </c>
      <c r="F21" s="80">
        <v>3</v>
      </c>
      <c r="G21" s="80"/>
      <c r="H21" s="80"/>
      <c r="I21" s="80" t="s">
        <v>52</v>
      </c>
      <c r="J21" s="4">
        <v>14154.93</v>
      </c>
      <c r="K21" s="4">
        <v>64152.62</v>
      </c>
      <c r="L21" s="81">
        <v>45966</v>
      </c>
      <c r="M21" s="81">
        <v>45996</v>
      </c>
      <c r="N21" s="80" t="s">
        <v>52</v>
      </c>
      <c r="O21" s="80">
        <v>6</v>
      </c>
      <c r="P21" s="80">
        <v>-24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showGridLines="0" workbookViewId="0">
      <selection activeCell="C4" sqref="C4"/>
    </sheetView>
  </sheetViews>
  <sheetFormatPr defaultRowHeight="15"/>
  <cols>
    <col min="1" max="1" width="7" bestFit="1" customWidth="1"/>
    <col min="2" max="2" width="10" bestFit="1" customWidth="1"/>
    <col min="3" max="3" width="62.42578125" bestFit="1" customWidth="1"/>
    <col min="4" max="4" width="8.28515625" bestFit="1" customWidth="1"/>
    <col min="5" max="5" width="8.42578125" bestFit="1" customWidth="1"/>
    <col min="6" max="6" width="8.5703125" bestFit="1" customWidth="1"/>
    <col min="7" max="7" width="8.7109375" bestFit="1" customWidth="1"/>
    <col min="8" max="8" width="8.85546875" bestFit="1" customWidth="1"/>
    <col min="9" max="9" width="7.5703125" bestFit="1" customWidth="1"/>
    <col min="10" max="11" width="11.42578125" bestFit="1" customWidth="1"/>
    <col min="12" max="13" width="10.42578125" bestFit="1" customWidth="1"/>
    <col min="15" max="15" width="6.85546875" bestFit="1" customWidth="1"/>
    <col min="16" max="16" width="8.28515625" bestFit="1" customWidth="1"/>
  </cols>
  <sheetData>
    <row r="1" spans="1:16">
      <c r="A1" s="83"/>
      <c r="B1" s="83"/>
      <c r="C1" s="83"/>
      <c r="D1" s="83"/>
      <c r="E1" s="83"/>
      <c r="F1" s="83"/>
      <c r="G1" s="88"/>
      <c r="H1" s="88"/>
      <c r="I1" s="83"/>
      <c r="J1" s="85">
        <v>9297.130000000001</v>
      </c>
      <c r="K1" s="86">
        <v>44898.950000000004</v>
      </c>
      <c r="L1" s="83"/>
      <c r="M1" s="83"/>
      <c r="N1" s="83"/>
      <c r="O1" s="83"/>
      <c r="P1" s="83"/>
    </row>
    <row r="2" spans="1:16" ht="38.25">
      <c r="A2" s="91" t="s">
        <v>15</v>
      </c>
      <c r="B2" s="91" t="s">
        <v>35</v>
      </c>
      <c r="C2" s="91" t="s">
        <v>36</v>
      </c>
      <c r="D2" s="91" t="s">
        <v>37</v>
      </c>
      <c r="E2" s="91" t="s">
        <v>38</v>
      </c>
      <c r="F2" s="91" t="s">
        <v>39</v>
      </c>
      <c r="G2" s="91" t="s">
        <v>40</v>
      </c>
      <c r="H2" s="91" t="s">
        <v>41</v>
      </c>
      <c r="I2" s="91" t="s">
        <v>42</v>
      </c>
      <c r="J2" s="94" t="s">
        <v>43</v>
      </c>
      <c r="K2" s="95" t="s">
        <v>44</v>
      </c>
      <c r="L2" s="92" t="s">
        <v>45</v>
      </c>
      <c r="M2" s="92" t="s">
        <v>46</v>
      </c>
      <c r="N2" s="91" t="s">
        <v>47</v>
      </c>
      <c r="O2" s="91" t="s">
        <v>48</v>
      </c>
      <c r="P2" s="91" t="s">
        <v>49</v>
      </c>
    </row>
    <row r="3" spans="1:16">
      <c r="A3" s="83">
        <v>198842</v>
      </c>
      <c r="B3" s="84" t="s">
        <v>110</v>
      </c>
      <c r="C3" s="83" t="s">
        <v>111</v>
      </c>
      <c r="D3" s="83">
        <v>4</v>
      </c>
      <c r="E3" s="83">
        <v>4</v>
      </c>
      <c r="F3" s="83">
        <v>30</v>
      </c>
      <c r="G3" s="90"/>
      <c r="H3" s="90"/>
      <c r="I3" s="90" t="s">
        <v>52</v>
      </c>
      <c r="J3" s="93">
        <v>283.07</v>
      </c>
      <c r="K3" s="89">
        <v>283.07</v>
      </c>
      <c r="L3" s="87">
        <v>45932</v>
      </c>
      <c r="M3" s="87">
        <v>45947</v>
      </c>
      <c r="N3" s="83"/>
      <c r="O3" s="83">
        <v>40</v>
      </c>
      <c r="P3" s="83">
        <v>25</v>
      </c>
    </row>
    <row r="4" spans="1:16">
      <c r="A4" s="83">
        <v>199370</v>
      </c>
      <c r="B4" s="84" t="s">
        <v>110</v>
      </c>
      <c r="C4" s="83" t="s">
        <v>111</v>
      </c>
      <c r="D4" s="83">
        <v>2</v>
      </c>
      <c r="E4" s="83">
        <v>2</v>
      </c>
      <c r="F4" s="83">
        <v>30</v>
      </c>
      <c r="G4" s="90"/>
      <c r="H4" s="90"/>
      <c r="I4" s="90" t="s">
        <v>52</v>
      </c>
      <c r="J4" s="93">
        <v>152.85</v>
      </c>
      <c r="K4" s="89">
        <v>152.85</v>
      </c>
      <c r="L4" s="87">
        <v>45942</v>
      </c>
      <c r="M4" s="87">
        <v>45957</v>
      </c>
      <c r="N4" s="83"/>
      <c r="O4" s="83">
        <v>30</v>
      </c>
      <c r="P4" s="83">
        <v>15</v>
      </c>
    </row>
    <row r="5" spans="1:16">
      <c r="A5" s="83">
        <v>200049</v>
      </c>
      <c r="B5" s="84" t="s">
        <v>112</v>
      </c>
      <c r="C5" s="83" t="s">
        <v>113</v>
      </c>
      <c r="D5" s="83">
        <v>1</v>
      </c>
      <c r="E5" s="83">
        <v>1</v>
      </c>
      <c r="F5" s="83">
        <v>1</v>
      </c>
      <c r="G5" s="90"/>
      <c r="H5" s="90"/>
      <c r="I5" s="90" t="s">
        <v>52</v>
      </c>
      <c r="J5" s="93">
        <v>915.36</v>
      </c>
      <c r="K5" s="89">
        <v>915.36</v>
      </c>
      <c r="L5" s="87">
        <v>45958</v>
      </c>
      <c r="M5" s="87">
        <v>45963</v>
      </c>
      <c r="N5" s="83"/>
      <c r="O5" s="83">
        <v>14</v>
      </c>
      <c r="P5" s="83">
        <v>9</v>
      </c>
    </row>
    <row r="6" spans="1:16">
      <c r="A6" s="83">
        <v>198564</v>
      </c>
      <c r="B6" s="84" t="s">
        <v>114</v>
      </c>
      <c r="C6" s="83" t="s">
        <v>115</v>
      </c>
      <c r="D6" s="83">
        <v>1</v>
      </c>
      <c r="E6" s="83">
        <v>1</v>
      </c>
      <c r="F6" s="83"/>
      <c r="G6" s="90"/>
      <c r="H6" s="90"/>
      <c r="I6" s="90" t="s">
        <v>52</v>
      </c>
      <c r="J6" s="93">
        <v>145.81</v>
      </c>
      <c r="K6" s="89">
        <v>145.81</v>
      </c>
      <c r="L6" s="87">
        <v>45929</v>
      </c>
      <c r="M6" s="87">
        <v>45969</v>
      </c>
      <c r="N6" s="83"/>
      <c r="O6" s="83">
        <v>43</v>
      </c>
      <c r="P6" s="83">
        <v>3</v>
      </c>
    </row>
    <row r="7" spans="1:16">
      <c r="A7" s="83">
        <v>199651</v>
      </c>
      <c r="B7" s="84" t="s">
        <v>116</v>
      </c>
      <c r="C7" s="83" t="s">
        <v>117</v>
      </c>
      <c r="D7" s="83">
        <v>2</v>
      </c>
      <c r="E7" s="83">
        <v>2</v>
      </c>
      <c r="F7" s="83">
        <v>2</v>
      </c>
      <c r="G7" s="90"/>
      <c r="H7" s="90"/>
      <c r="I7" s="90" t="s">
        <v>52</v>
      </c>
      <c r="J7" s="93">
        <v>2129.79</v>
      </c>
      <c r="K7" s="89">
        <v>2129.79</v>
      </c>
      <c r="L7" s="87">
        <v>45947</v>
      </c>
      <c r="M7" s="87">
        <v>45972</v>
      </c>
      <c r="N7" s="83"/>
      <c r="O7" s="83">
        <v>25</v>
      </c>
      <c r="P7" s="83">
        <v>0</v>
      </c>
    </row>
    <row r="8" spans="1:16">
      <c r="A8" s="83">
        <v>200530</v>
      </c>
      <c r="B8" s="83" t="s">
        <v>118</v>
      </c>
      <c r="C8" s="83" t="s">
        <v>119</v>
      </c>
      <c r="D8" s="83">
        <v>1</v>
      </c>
      <c r="E8" s="83">
        <v>1</v>
      </c>
      <c r="F8" s="83"/>
      <c r="G8" s="83">
        <v>0</v>
      </c>
      <c r="H8" s="83">
        <v>0</v>
      </c>
      <c r="I8" s="83" t="s">
        <v>52</v>
      </c>
      <c r="J8" s="85">
        <v>1305.03</v>
      </c>
      <c r="K8" s="86">
        <v>2994.77</v>
      </c>
      <c r="L8" s="87">
        <v>45967</v>
      </c>
      <c r="M8" s="87">
        <v>45974</v>
      </c>
      <c r="N8" s="83"/>
      <c r="O8" s="83">
        <v>5</v>
      </c>
      <c r="P8" s="83">
        <v>-2</v>
      </c>
    </row>
    <row r="9" spans="1:16">
      <c r="A9" s="83">
        <v>200196</v>
      </c>
      <c r="B9" s="83" t="s">
        <v>110</v>
      </c>
      <c r="C9" s="83" t="s">
        <v>111</v>
      </c>
      <c r="D9" s="83">
        <v>6</v>
      </c>
      <c r="E9" s="83">
        <v>6</v>
      </c>
      <c r="F9" s="83">
        <v>30</v>
      </c>
      <c r="G9" s="83"/>
      <c r="H9" s="83"/>
      <c r="I9" s="83" t="s">
        <v>52</v>
      </c>
      <c r="J9" s="85">
        <v>433.91</v>
      </c>
      <c r="K9" s="86">
        <v>5524.7</v>
      </c>
      <c r="L9" s="87">
        <v>45961</v>
      </c>
      <c r="M9" s="87">
        <v>45976</v>
      </c>
      <c r="N9" s="83"/>
      <c r="O9" s="83">
        <v>11</v>
      </c>
      <c r="P9" s="83">
        <v>-4</v>
      </c>
    </row>
    <row r="10" spans="1:16">
      <c r="A10" s="83">
        <v>199634</v>
      </c>
      <c r="B10" s="83" t="s">
        <v>120</v>
      </c>
      <c r="C10" s="83" t="s">
        <v>121</v>
      </c>
      <c r="D10" s="83">
        <v>2</v>
      </c>
      <c r="E10" s="83">
        <v>2</v>
      </c>
      <c r="F10" s="83"/>
      <c r="G10" s="83"/>
      <c r="H10" s="83"/>
      <c r="I10" s="83" t="s">
        <v>52</v>
      </c>
      <c r="J10" s="85">
        <v>1064.9000000000001</v>
      </c>
      <c r="K10" s="86">
        <v>2061.0500000000002</v>
      </c>
      <c r="L10" s="87">
        <v>45947</v>
      </c>
      <c r="M10" s="87">
        <v>45954</v>
      </c>
      <c r="N10" s="83" t="s">
        <v>52</v>
      </c>
      <c r="O10" s="83">
        <v>25</v>
      </c>
      <c r="P10" s="83">
        <v>18</v>
      </c>
    </row>
    <row r="11" spans="1:16">
      <c r="A11" s="83">
        <v>199834</v>
      </c>
      <c r="B11" s="83" t="s">
        <v>122</v>
      </c>
      <c r="C11" s="83" t="s">
        <v>123</v>
      </c>
      <c r="D11" s="83">
        <v>1</v>
      </c>
      <c r="E11" s="83">
        <v>1</v>
      </c>
      <c r="F11" s="83">
        <v>3</v>
      </c>
      <c r="G11" s="83"/>
      <c r="H11" s="83"/>
      <c r="I11" s="83" t="s">
        <v>52</v>
      </c>
      <c r="J11" s="85">
        <v>158.96</v>
      </c>
      <c r="K11" s="86">
        <v>158.96</v>
      </c>
      <c r="L11" s="87">
        <v>45952</v>
      </c>
      <c r="M11" s="87">
        <v>45959</v>
      </c>
      <c r="N11" s="83" t="s">
        <v>52</v>
      </c>
      <c r="O11" s="83">
        <v>20</v>
      </c>
      <c r="P11" s="83">
        <v>13</v>
      </c>
    </row>
    <row r="12" spans="1:16">
      <c r="A12" s="83">
        <v>200407</v>
      </c>
      <c r="B12" s="83" t="s">
        <v>124</v>
      </c>
      <c r="C12" s="83" t="s">
        <v>125</v>
      </c>
      <c r="D12" s="83">
        <v>1</v>
      </c>
      <c r="E12" s="83">
        <v>1</v>
      </c>
      <c r="F12" s="83">
        <v>5</v>
      </c>
      <c r="G12" s="83">
        <v>0</v>
      </c>
      <c r="H12" s="83">
        <v>0</v>
      </c>
      <c r="I12" s="83" t="s">
        <v>52</v>
      </c>
      <c r="J12" s="85">
        <v>42.63</v>
      </c>
      <c r="K12" s="86">
        <v>2625.02</v>
      </c>
      <c r="L12" s="87">
        <v>45965</v>
      </c>
      <c r="M12" s="87">
        <v>45972</v>
      </c>
      <c r="N12" s="83" t="s">
        <v>52</v>
      </c>
      <c r="O12" s="83">
        <v>7</v>
      </c>
      <c r="P12" s="83">
        <v>0</v>
      </c>
    </row>
    <row r="13" spans="1:16">
      <c r="A13" s="83">
        <v>200409</v>
      </c>
      <c r="B13" s="83" t="s">
        <v>126</v>
      </c>
      <c r="C13" s="83" t="s">
        <v>127</v>
      </c>
      <c r="D13" s="83">
        <v>2</v>
      </c>
      <c r="E13" s="83">
        <v>2</v>
      </c>
      <c r="F13" s="83"/>
      <c r="G13" s="83">
        <v>0</v>
      </c>
      <c r="H13" s="83">
        <v>0</v>
      </c>
      <c r="I13" s="83" t="s">
        <v>52</v>
      </c>
      <c r="J13" s="85">
        <v>116.61</v>
      </c>
      <c r="K13" s="86">
        <v>4133.3100000000004</v>
      </c>
      <c r="L13" s="87">
        <v>45965</v>
      </c>
      <c r="M13" s="87">
        <v>45972</v>
      </c>
      <c r="N13" s="83" t="s">
        <v>52</v>
      </c>
      <c r="O13" s="83">
        <v>7</v>
      </c>
      <c r="P13" s="83">
        <v>0</v>
      </c>
    </row>
    <row r="14" spans="1:16">
      <c r="A14" s="83">
        <v>200411</v>
      </c>
      <c r="B14" s="83" t="s">
        <v>128</v>
      </c>
      <c r="C14" s="83" t="s">
        <v>129</v>
      </c>
      <c r="D14" s="83">
        <v>1</v>
      </c>
      <c r="E14" s="83">
        <v>1</v>
      </c>
      <c r="F14" s="83">
        <v>1</v>
      </c>
      <c r="G14" s="83"/>
      <c r="H14" s="83"/>
      <c r="I14" s="83" t="s">
        <v>52</v>
      </c>
      <c r="J14" s="85">
        <v>63.72</v>
      </c>
      <c r="K14" s="86">
        <v>2305.4499999999998</v>
      </c>
      <c r="L14" s="87">
        <v>45966</v>
      </c>
      <c r="M14" s="87">
        <v>45973</v>
      </c>
      <c r="N14" s="83" t="s">
        <v>52</v>
      </c>
      <c r="O14" s="83">
        <v>6</v>
      </c>
      <c r="P14" s="83">
        <v>-1</v>
      </c>
    </row>
    <row r="15" spans="1:16">
      <c r="A15" s="83">
        <v>200420</v>
      </c>
      <c r="B15" s="83" t="s">
        <v>130</v>
      </c>
      <c r="C15" s="83" t="s">
        <v>131</v>
      </c>
      <c r="D15" s="83">
        <v>1</v>
      </c>
      <c r="E15" s="83">
        <v>1</v>
      </c>
      <c r="F15" s="83">
        <v>1</v>
      </c>
      <c r="G15" s="83"/>
      <c r="H15" s="83"/>
      <c r="I15" s="83" t="s">
        <v>52</v>
      </c>
      <c r="J15" s="85">
        <v>306.25</v>
      </c>
      <c r="K15" s="86">
        <v>995.04</v>
      </c>
      <c r="L15" s="87">
        <v>45966</v>
      </c>
      <c r="M15" s="87">
        <v>45973</v>
      </c>
      <c r="N15" s="83" t="s">
        <v>52</v>
      </c>
      <c r="O15" s="83">
        <v>6</v>
      </c>
      <c r="P15" s="83">
        <v>-1</v>
      </c>
    </row>
    <row r="16" spans="1:16">
      <c r="A16" s="83">
        <v>200438</v>
      </c>
      <c r="B16" s="83" t="s">
        <v>132</v>
      </c>
      <c r="C16" s="83" t="s">
        <v>133</v>
      </c>
      <c r="D16" s="83">
        <v>4</v>
      </c>
      <c r="E16" s="83">
        <v>4</v>
      </c>
      <c r="F16" s="83">
        <v>10</v>
      </c>
      <c r="G16" s="83">
        <v>0</v>
      </c>
      <c r="H16" s="83">
        <v>0</v>
      </c>
      <c r="I16" s="83" t="s">
        <v>52</v>
      </c>
      <c r="J16" s="85">
        <v>575.51</v>
      </c>
      <c r="K16" s="86">
        <v>16109.19</v>
      </c>
      <c r="L16" s="87">
        <v>45966</v>
      </c>
      <c r="M16" s="87">
        <v>45973</v>
      </c>
      <c r="N16" s="83" t="s">
        <v>52</v>
      </c>
      <c r="O16" s="83">
        <v>6</v>
      </c>
      <c r="P16" s="83">
        <v>-1</v>
      </c>
    </row>
    <row r="17" spans="1:16">
      <c r="A17" s="83">
        <v>200467</v>
      </c>
      <c r="B17" s="83" t="s">
        <v>134</v>
      </c>
      <c r="C17" s="83" t="s">
        <v>135</v>
      </c>
      <c r="D17" s="83">
        <v>2</v>
      </c>
      <c r="E17" s="83">
        <v>2</v>
      </c>
      <c r="F17" s="83"/>
      <c r="G17" s="83"/>
      <c r="H17" s="83"/>
      <c r="I17" s="83" t="s">
        <v>52</v>
      </c>
      <c r="J17" s="85">
        <v>333.71</v>
      </c>
      <c r="K17" s="86">
        <v>333.71</v>
      </c>
      <c r="L17" s="87">
        <v>45967</v>
      </c>
      <c r="M17" s="87">
        <v>45974</v>
      </c>
      <c r="N17" s="83" t="s">
        <v>52</v>
      </c>
      <c r="O17" s="83">
        <v>5</v>
      </c>
      <c r="P17" s="83">
        <v>-2</v>
      </c>
    </row>
    <row r="18" spans="1:16">
      <c r="A18" s="83">
        <v>200562</v>
      </c>
      <c r="B18" s="83" t="s">
        <v>136</v>
      </c>
      <c r="C18" s="83" t="s">
        <v>137</v>
      </c>
      <c r="D18" s="83">
        <v>1</v>
      </c>
      <c r="E18" s="83">
        <v>1</v>
      </c>
      <c r="F18" s="83">
        <v>1</v>
      </c>
      <c r="G18" s="83"/>
      <c r="H18" s="83"/>
      <c r="I18" s="83" t="s">
        <v>52</v>
      </c>
      <c r="J18" s="85">
        <v>303.23</v>
      </c>
      <c r="K18" s="86">
        <v>303.23</v>
      </c>
      <c r="L18" s="87">
        <v>45968</v>
      </c>
      <c r="M18" s="87">
        <v>45975</v>
      </c>
      <c r="N18" s="83" t="s">
        <v>52</v>
      </c>
      <c r="O18" s="83">
        <v>4</v>
      </c>
      <c r="P18" s="83">
        <v>-3</v>
      </c>
    </row>
    <row r="19" spans="1:16">
      <c r="A19" s="83">
        <v>200581</v>
      </c>
      <c r="B19" s="83" t="s">
        <v>138</v>
      </c>
      <c r="C19" s="83" t="s">
        <v>139</v>
      </c>
      <c r="D19" s="83">
        <v>1</v>
      </c>
      <c r="E19" s="83">
        <v>1</v>
      </c>
      <c r="F19" s="83">
        <v>50</v>
      </c>
      <c r="G19" s="83">
        <v>0</v>
      </c>
      <c r="H19" s="83">
        <v>0</v>
      </c>
      <c r="I19" s="83" t="s">
        <v>52</v>
      </c>
      <c r="J19" s="85">
        <v>414.94</v>
      </c>
      <c r="K19" s="86">
        <v>1306.47</v>
      </c>
      <c r="L19" s="87">
        <v>45971</v>
      </c>
      <c r="M19" s="87">
        <v>45978</v>
      </c>
      <c r="N19" s="83" t="s">
        <v>52</v>
      </c>
      <c r="O19" s="83">
        <v>1</v>
      </c>
      <c r="P19" s="83">
        <v>-6</v>
      </c>
    </row>
    <row r="20" spans="1:16">
      <c r="A20" s="83">
        <v>200628</v>
      </c>
      <c r="B20" s="83" t="s">
        <v>138</v>
      </c>
      <c r="C20" s="83" t="s">
        <v>139</v>
      </c>
      <c r="D20" s="83">
        <v>2</v>
      </c>
      <c r="E20" s="83">
        <v>2</v>
      </c>
      <c r="F20" s="83">
        <v>50</v>
      </c>
      <c r="G20" s="83">
        <v>0</v>
      </c>
      <c r="H20" s="83">
        <v>0</v>
      </c>
      <c r="I20" s="83" t="s">
        <v>52</v>
      </c>
      <c r="J20" s="85">
        <v>550.85</v>
      </c>
      <c r="K20" s="86">
        <v>2421.17</v>
      </c>
      <c r="L20" s="87">
        <v>45971</v>
      </c>
      <c r="M20" s="87">
        <v>45978</v>
      </c>
      <c r="N20" s="83" t="s">
        <v>52</v>
      </c>
      <c r="O20" s="83">
        <v>1</v>
      </c>
      <c r="P20" s="83">
        <v>-6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5"/>
  <sheetViews>
    <sheetView showGridLines="0" workbookViewId="0">
      <selection activeCell="B6" sqref="B6"/>
    </sheetView>
  </sheetViews>
  <sheetFormatPr defaultRowHeight="15"/>
  <cols>
    <col min="1" max="1" width="7" bestFit="1" customWidth="1"/>
    <col min="2" max="2" width="26.140625" bestFit="1" customWidth="1"/>
    <col min="3" max="3" width="17" bestFit="1" customWidth="1"/>
  </cols>
  <sheetData>
    <row r="1" spans="1:3">
      <c r="A1" s="96"/>
      <c r="B1" s="100">
        <v>125958.45280000003</v>
      </c>
      <c r="C1" s="100">
        <v>388261.19750000001</v>
      </c>
    </row>
    <row r="2" spans="1:3">
      <c r="A2" s="97" t="s">
        <v>15</v>
      </c>
      <c r="B2" s="100" t="s">
        <v>140</v>
      </c>
      <c r="C2" s="100" t="s">
        <v>141</v>
      </c>
    </row>
    <row r="3" spans="1:3">
      <c r="A3" s="112" t="s">
        <v>142</v>
      </c>
      <c r="B3" s="113">
        <v>39778.18</v>
      </c>
      <c r="C3" s="113">
        <v>61210.82</v>
      </c>
    </row>
    <row r="4" spans="1:3">
      <c r="A4" s="109" t="s">
        <v>24</v>
      </c>
      <c r="B4" s="115">
        <v>13459.274800000001</v>
      </c>
      <c r="C4" s="110">
        <v>22353.407999999999</v>
      </c>
    </row>
    <row r="5" spans="1:3">
      <c r="A5" s="109" t="s">
        <v>26</v>
      </c>
      <c r="B5" s="111">
        <v>8928.0443999999989</v>
      </c>
      <c r="C5" s="110">
        <v>14866.989399999999</v>
      </c>
    </row>
    <row r="6" spans="1:3">
      <c r="A6" s="109" t="s">
        <v>27</v>
      </c>
      <c r="B6" s="111">
        <v>8094.965400000001</v>
      </c>
      <c r="C6" s="110">
        <v>11687.822400000001</v>
      </c>
    </row>
    <row r="7" spans="1:3">
      <c r="A7" s="109" t="s">
        <v>28</v>
      </c>
      <c r="B7" s="110">
        <v>7903.6488000000008</v>
      </c>
      <c r="C7" s="110">
        <v>56155.484299999996</v>
      </c>
    </row>
    <row r="8" spans="1:3">
      <c r="A8" s="116" t="s">
        <v>29</v>
      </c>
      <c r="B8" s="117">
        <v>6683.9645999999993</v>
      </c>
      <c r="C8" s="110">
        <v>8911.9527999999991</v>
      </c>
    </row>
    <row r="9" spans="1:3">
      <c r="A9" s="112" t="s">
        <v>143</v>
      </c>
      <c r="B9" s="113">
        <v>3800.1824000000001</v>
      </c>
      <c r="C9" s="113">
        <v>5599.2838000000002</v>
      </c>
    </row>
    <row r="10" spans="1:3">
      <c r="A10" s="112" t="s">
        <v>144</v>
      </c>
      <c r="B10" s="113">
        <v>3792.6477</v>
      </c>
      <c r="C10" s="113">
        <v>13761.768</v>
      </c>
    </row>
    <row r="11" spans="1:3">
      <c r="A11" s="112" t="s">
        <v>145</v>
      </c>
      <c r="B11" s="113">
        <v>3497.66</v>
      </c>
      <c r="C11" s="113">
        <v>4980.7000000000007</v>
      </c>
    </row>
    <row r="12" spans="1:3">
      <c r="A12" s="112" t="s">
        <v>146</v>
      </c>
      <c r="B12" s="113">
        <v>2872.5414000000001</v>
      </c>
      <c r="C12" s="113">
        <v>29604.500400000001</v>
      </c>
    </row>
    <row r="13" spans="1:3">
      <c r="A13" s="112" t="s">
        <v>147</v>
      </c>
      <c r="B13" s="101">
        <v>2686.7656999999999</v>
      </c>
      <c r="C13" s="113">
        <v>27136.503799999999</v>
      </c>
    </row>
    <row r="14" spans="1:3">
      <c r="A14" s="112" t="s">
        <v>148</v>
      </c>
      <c r="B14" s="113">
        <v>2666.2768999999998</v>
      </c>
      <c r="C14" s="113">
        <v>6655.3809000000001</v>
      </c>
    </row>
    <row r="15" spans="1:3">
      <c r="A15" s="112" t="s">
        <v>149</v>
      </c>
      <c r="B15" s="101">
        <v>2662.2084</v>
      </c>
      <c r="C15" s="113">
        <v>3382.9272000000001</v>
      </c>
    </row>
    <row r="16" spans="1:3">
      <c r="A16" s="112" t="s">
        <v>150</v>
      </c>
      <c r="B16" s="101">
        <v>2656.8054000000002</v>
      </c>
      <c r="C16" s="113">
        <v>67521.717300000004</v>
      </c>
    </row>
    <row r="17" spans="1:3">
      <c r="A17" s="112" t="s">
        <v>151</v>
      </c>
      <c r="B17" s="113">
        <v>2274.8531000000003</v>
      </c>
      <c r="C17" s="113">
        <v>5194.6531000000004</v>
      </c>
    </row>
    <row r="18" spans="1:3">
      <c r="A18" s="112" t="s">
        <v>152</v>
      </c>
      <c r="B18" s="113">
        <v>1951.0208</v>
      </c>
      <c r="C18" s="113">
        <v>5492.0128000000004</v>
      </c>
    </row>
    <row r="19" spans="1:3">
      <c r="A19" s="112" t="s">
        <v>153</v>
      </c>
      <c r="B19" s="113">
        <v>1913.0645</v>
      </c>
      <c r="C19" s="113">
        <v>2857.9139999999998</v>
      </c>
    </row>
    <row r="20" spans="1:3">
      <c r="A20" s="112" t="s">
        <v>154</v>
      </c>
      <c r="B20" s="101">
        <v>1909.8600000000001</v>
      </c>
      <c r="C20" s="113">
        <v>4885.46</v>
      </c>
    </row>
    <row r="21" spans="1:3">
      <c r="A21" s="112" t="s">
        <v>155</v>
      </c>
      <c r="B21" s="101">
        <v>1664.675</v>
      </c>
      <c r="C21" s="113">
        <v>4994.0249999999996</v>
      </c>
    </row>
    <row r="22" spans="1:3">
      <c r="A22" s="112" t="s">
        <v>156</v>
      </c>
      <c r="B22" s="101">
        <v>1273.2543000000001</v>
      </c>
      <c r="C22" s="113">
        <v>5546.2527000000009</v>
      </c>
    </row>
    <row r="23" spans="1:3">
      <c r="A23" s="112" t="s">
        <v>157</v>
      </c>
      <c r="B23" s="101">
        <v>1250.2674</v>
      </c>
      <c r="C23" s="113">
        <v>3359.0348000000004</v>
      </c>
    </row>
    <row r="24" spans="1:3">
      <c r="A24" s="112" t="s">
        <v>158</v>
      </c>
      <c r="B24" s="113">
        <v>934.74300000000005</v>
      </c>
      <c r="C24" s="113">
        <v>5207.7414000000008</v>
      </c>
    </row>
    <row r="25" spans="1:3">
      <c r="A25" s="112" t="s">
        <v>159</v>
      </c>
      <c r="B25" s="101">
        <v>902.4511</v>
      </c>
      <c r="C25" s="113">
        <v>4988.2888000000003</v>
      </c>
    </row>
    <row r="26" spans="1:3">
      <c r="A26" s="112" t="s">
        <v>160</v>
      </c>
      <c r="B26" s="101">
        <v>602.13639999999998</v>
      </c>
      <c r="C26" s="113">
        <v>4039.2793999999999</v>
      </c>
    </row>
    <row r="27" spans="1:3">
      <c r="A27" s="112" t="s">
        <v>161</v>
      </c>
      <c r="B27" s="101">
        <v>599.9</v>
      </c>
      <c r="C27" s="113">
        <v>3068.6000000000004</v>
      </c>
    </row>
    <row r="28" spans="1:3">
      <c r="A28" s="114" t="s">
        <v>162</v>
      </c>
      <c r="B28" s="102">
        <v>599.9</v>
      </c>
      <c r="C28" s="113">
        <v>3286.62</v>
      </c>
    </row>
    <row r="29" spans="1:3">
      <c r="A29" s="112" t="s">
        <v>163</v>
      </c>
      <c r="B29" s="101">
        <v>599.16129999999998</v>
      </c>
      <c r="C29" s="113">
        <v>1512.0572</v>
      </c>
    </row>
    <row r="30" spans="1:3">
      <c r="A30" s="114"/>
      <c r="B30" s="102"/>
      <c r="C30" s="113"/>
    </row>
    <row r="31" spans="1:3">
      <c r="A31" s="112"/>
      <c r="B31" s="113"/>
      <c r="C31" s="113"/>
    </row>
    <row r="32" spans="1:3">
      <c r="A32" s="105"/>
      <c r="B32" s="102"/>
      <c r="C32" s="104"/>
    </row>
    <row r="33" spans="1:3">
      <c r="A33" s="103"/>
      <c r="B33" s="101"/>
      <c r="C33" s="104"/>
    </row>
    <row r="34" spans="1:3">
      <c r="A34" s="103"/>
      <c r="B34" s="101"/>
      <c r="C34" s="104"/>
    </row>
    <row r="35" spans="1:3">
      <c r="A35" s="103"/>
      <c r="B35" s="101"/>
      <c r="C35" s="104"/>
    </row>
    <row r="36" spans="1:3">
      <c r="A36" s="103"/>
      <c r="B36" s="104"/>
      <c r="C36" s="104"/>
    </row>
    <row r="37" spans="1:3">
      <c r="A37" s="103"/>
      <c r="B37" s="104"/>
      <c r="C37" s="104"/>
    </row>
    <row r="38" spans="1:3">
      <c r="A38" s="103"/>
      <c r="B38" s="104"/>
      <c r="C38" s="101"/>
    </row>
    <row r="39" spans="1:3">
      <c r="A39" s="103"/>
      <c r="B39" s="101"/>
      <c r="C39" s="101"/>
    </row>
    <row r="40" spans="1:3">
      <c r="A40" s="103"/>
      <c r="B40" s="104"/>
      <c r="C40" s="104"/>
    </row>
    <row r="41" spans="1:3">
      <c r="A41" s="103"/>
      <c r="B41" s="101"/>
      <c r="C41" s="101"/>
    </row>
    <row r="42" spans="1:3">
      <c r="A42" s="103"/>
      <c r="B42" s="101"/>
      <c r="C42" s="101"/>
    </row>
    <row r="43" spans="1:3">
      <c r="A43" s="103"/>
      <c r="B43" s="104"/>
      <c r="C43" s="104"/>
    </row>
    <row r="44" spans="1:3">
      <c r="A44" s="103"/>
      <c r="B44" s="101"/>
      <c r="C44" s="104"/>
    </row>
    <row r="45" spans="1:3">
      <c r="A45" s="103"/>
      <c r="B45" s="101"/>
      <c r="C45" s="104"/>
    </row>
    <row r="46" spans="1:3">
      <c r="A46" s="103"/>
      <c r="B46" s="104"/>
      <c r="C46" s="104"/>
    </row>
    <row r="47" spans="1:3">
      <c r="A47" s="103"/>
      <c r="B47" s="104"/>
      <c r="C47" s="104"/>
    </row>
    <row r="48" spans="1:3">
      <c r="A48" s="105"/>
      <c r="B48" s="102"/>
      <c r="C48" s="104"/>
    </row>
    <row r="49" spans="1:3">
      <c r="A49" s="103"/>
      <c r="B49" s="101"/>
      <c r="C49" s="104"/>
    </row>
    <row r="50" spans="1:3">
      <c r="A50" s="103"/>
      <c r="B50" s="104"/>
      <c r="C50" s="104"/>
    </row>
    <row r="51" spans="1:3">
      <c r="A51" s="105"/>
      <c r="B51" s="102"/>
      <c r="C51" s="104"/>
    </row>
    <row r="52" spans="1:3">
      <c r="A52" s="103"/>
      <c r="B52" s="104"/>
      <c r="C52" s="104"/>
    </row>
    <row r="53" spans="1:3">
      <c r="A53" s="103"/>
      <c r="B53" s="101"/>
      <c r="C53" s="104"/>
    </row>
    <row r="54" spans="1:3">
      <c r="A54" s="103"/>
      <c r="B54" s="101"/>
      <c r="C54" s="104"/>
    </row>
    <row r="55" spans="1:3">
      <c r="A55" s="106"/>
      <c r="B55" s="107"/>
      <c r="C55" s="104"/>
    </row>
    <row r="56" spans="1:3">
      <c r="A56" s="96"/>
      <c r="B56" s="96"/>
      <c r="C56" s="104"/>
    </row>
    <row r="57" spans="1:3">
      <c r="A57" s="98"/>
      <c r="B57" s="99"/>
      <c r="C57" s="104"/>
    </row>
    <row r="58" spans="1:3">
      <c r="A58" s="96"/>
      <c r="B58" s="96"/>
      <c r="C58" s="104"/>
    </row>
    <row r="59" spans="1:3">
      <c r="A59" s="96"/>
      <c r="B59" s="96"/>
      <c r="C59" s="108"/>
    </row>
    <row r="60" spans="1:3">
      <c r="A60" s="98"/>
      <c r="B60" s="108"/>
      <c r="C60" s="108"/>
    </row>
    <row r="61" spans="1:3">
      <c r="A61" s="98"/>
      <c r="B61" s="99"/>
      <c r="C61" s="108"/>
    </row>
    <row r="62" spans="1:3">
      <c r="A62" s="98"/>
      <c r="B62" s="108"/>
      <c r="C62" s="108"/>
    </row>
    <row r="63" spans="1:3">
      <c r="A63" s="98"/>
      <c r="B63" s="99"/>
      <c r="C63" s="108"/>
    </row>
    <row r="65" spans="1:3">
      <c r="A65" s="98"/>
      <c r="B65" s="99"/>
      <c r="C65" s="9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showGridLines="0" workbookViewId="0">
      <selection activeCell="B2" sqref="B2"/>
    </sheetView>
  </sheetViews>
  <sheetFormatPr defaultRowHeight="15"/>
  <cols>
    <col min="1" max="1" width="7.28515625" bestFit="1" customWidth="1"/>
    <col min="2" max="2" width="22" bestFit="1" customWidth="1"/>
    <col min="3" max="3" width="27.42578125" bestFit="1" customWidth="1"/>
  </cols>
  <sheetData>
    <row r="1" spans="1:3">
      <c r="A1" s="118"/>
      <c r="B1" s="119">
        <v>14165.3866</v>
      </c>
      <c r="C1" s="118"/>
    </row>
    <row r="2" spans="1:3">
      <c r="A2" s="120" t="s">
        <v>15</v>
      </c>
      <c r="B2" s="121" t="s">
        <v>164</v>
      </c>
      <c r="C2" s="120" t="s">
        <v>140</v>
      </c>
    </row>
    <row r="3" spans="1:3">
      <c r="A3" s="120" t="s">
        <v>30</v>
      </c>
      <c r="B3" s="124">
        <v>14165.3866</v>
      </c>
      <c r="C3" s="118"/>
    </row>
    <row r="4" spans="1:3">
      <c r="A4" s="118"/>
      <c r="B4" s="124"/>
      <c r="C4" s="118"/>
    </row>
    <row r="5" spans="1:3">
      <c r="A5" s="125"/>
      <c r="B5" s="122"/>
      <c r="C5" s="118"/>
    </row>
    <row r="6" spans="1:3">
      <c r="A6" s="125"/>
      <c r="B6" s="122"/>
      <c r="C6" s="118"/>
    </row>
    <row r="7" spans="1:3">
      <c r="A7" s="125"/>
      <c r="B7" s="122"/>
      <c r="C7" s="118"/>
    </row>
    <row r="8" spans="1:3">
      <c r="A8" s="125"/>
      <c r="B8" s="122"/>
      <c r="C8" s="118"/>
    </row>
    <row r="9" spans="1:3">
      <c r="A9" s="125"/>
      <c r="B9" s="122"/>
      <c r="C9" s="118"/>
    </row>
    <row r="10" spans="1:3">
      <c r="A10" s="125"/>
      <c r="B10" s="122"/>
      <c r="C10" s="118"/>
    </row>
    <row r="11" spans="1:3">
      <c r="A11" s="125"/>
      <c r="B11" s="126"/>
      <c r="C11" s="118"/>
    </row>
    <row r="12" spans="1:3">
      <c r="A12" s="125"/>
      <c r="B12" s="126"/>
      <c r="C12" s="118"/>
    </row>
    <row r="13" spans="1:3">
      <c r="A13" s="125"/>
      <c r="B13" s="126"/>
      <c r="C13" s="118"/>
    </row>
    <row r="14" spans="1:3">
      <c r="A14" s="125"/>
      <c r="B14" s="122"/>
      <c r="C14" s="118"/>
    </row>
    <row r="15" spans="1:3">
      <c r="A15" s="125"/>
      <c r="B15" s="123"/>
      <c r="C15" s="118"/>
    </row>
    <row r="16" spans="1:3">
      <c r="A16" s="125"/>
      <c r="B16" s="123"/>
      <c r="C16" s="118"/>
    </row>
    <row r="17" spans="1:3">
      <c r="A17" s="125"/>
      <c r="B17" s="126"/>
      <c r="C17" s="118"/>
    </row>
    <row r="18" spans="1:3">
      <c r="A18" s="125"/>
      <c r="B18" s="126"/>
      <c r="C18" s="11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showGridLines="0" tabSelected="1" workbookViewId="0">
      <selection activeCell="C2" sqref="C2"/>
    </sheetView>
  </sheetViews>
  <sheetFormatPr defaultRowHeight="15"/>
  <cols>
    <col min="1" max="1" width="7" bestFit="1" customWidth="1"/>
    <col min="2" max="2" width="12.42578125" bestFit="1" customWidth="1"/>
    <col min="3" max="3" width="8.7109375" bestFit="1" customWidth="1"/>
  </cols>
  <sheetData>
    <row r="1" spans="1:3">
      <c r="A1" s="127"/>
      <c r="B1" s="131">
        <v>11353.49</v>
      </c>
      <c r="C1" s="127"/>
    </row>
    <row r="2" spans="1:3" ht="51">
      <c r="A2" s="135" t="s">
        <v>15</v>
      </c>
      <c r="B2" s="132" t="s">
        <v>164</v>
      </c>
      <c r="C2" s="133" t="s">
        <v>140</v>
      </c>
    </row>
    <row r="3" spans="1:3">
      <c r="A3" s="136" t="s">
        <v>22</v>
      </c>
      <c r="B3" s="134">
        <v>11353.49</v>
      </c>
      <c r="C3" s="128"/>
    </row>
    <row r="4" spans="1:3">
      <c r="A4" s="139"/>
      <c r="B4" s="134"/>
      <c r="C4" s="128"/>
    </row>
    <row r="5" spans="1:3">
      <c r="A5" s="136"/>
      <c r="B5" s="137"/>
      <c r="C5" s="128"/>
    </row>
    <row r="6" spans="1:3">
      <c r="A6" s="129"/>
      <c r="B6" s="130"/>
      <c r="C6" s="128"/>
    </row>
    <row r="7" spans="1:3">
      <c r="A7" s="129"/>
      <c r="B7" s="130"/>
      <c r="C7" s="128"/>
    </row>
    <row r="8" spans="1:3">
      <c r="A8" s="127"/>
      <c r="B8" s="127"/>
      <c r="C8" s="128"/>
    </row>
    <row r="9" spans="1:3">
      <c r="A9" s="127"/>
      <c r="B9" s="127"/>
      <c r="C9" s="128"/>
    </row>
    <row r="10" spans="1:3">
      <c r="A10" s="127"/>
      <c r="B10" s="127"/>
      <c r="C10" s="128"/>
    </row>
    <row r="11" spans="1:3">
      <c r="A11" s="127"/>
      <c r="B11" s="127"/>
      <c r="C11" s="128"/>
    </row>
    <row r="12" spans="1:3">
      <c r="A12" s="127"/>
      <c r="B12" s="127"/>
      <c r="C12" s="128"/>
    </row>
    <row r="13" spans="1:3">
      <c r="A13" s="127"/>
      <c r="B13" s="127"/>
      <c r="C13" s="128"/>
    </row>
    <row r="14" spans="1:3">
      <c r="A14" s="145"/>
      <c r="B14" s="146"/>
      <c r="C14" s="138"/>
    </row>
    <row r="15" spans="1:3">
      <c r="A15" s="145"/>
      <c r="B15" s="146"/>
      <c r="C15" s="138"/>
    </row>
    <row r="16" spans="1:3">
      <c r="A16" s="147"/>
      <c r="B16" s="148"/>
      <c r="C16" s="138"/>
    </row>
    <row r="29" spans="1:3">
      <c r="A29" s="140"/>
      <c r="B29" s="143"/>
      <c r="C29" s="144"/>
    </row>
    <row r="30" spans="1:3">
      <c r="A30" s="140"/>
      <c r="B30" s="143"/>
      <c r="C30" s="144"/>
    </row>
    <row r="31" spans="1:3">
      <c r="A31" s="140"/>
      <c r="B31" s="141"/>
      <c r="C31" s="142"/>
    </row>
    <row r="32" spans="1:3">
      <c r="A32" s="140"/>
      <c r="B32" s="141"/>
      <c r="C32" s="142"/>
    </row>
    <row r="33" spans="1:3">
      <c r="A33" s="140"/>
      <c r="B33" s="141"/>
      <c r="C33" s="14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assertividade</vt:lpstr>
      <vt:lpstr>ciclo</vt:lpstr>
      <vt:lpstr>falta 1 sku</vt:lpstr>
      <vt:lpstr>Atraso com +15DD (LeadTime)</vt:lpstr>
      <vt:lpstr>Peças (Falta 1 Sku)</vt:lpstr>
      <vt:lpstr>Reserva Parcial</vt:lpstr>
      <vt:lpstr>Reservado-Credito</vt:lpstr>
      <vt:lpstr>Reserva integral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Vieira Andrade</dc:creator>
  <cp:lastModifiedBy>Zé Luiz Reis</cp:lastModifiedBy>
  <dcterms:created xsi:type="dcterms:W3CDTF">2025-11-18T13:05:01Z</dcterms:created>
  <dcterms:modified xsi:type="dcterms:W3CDTF">2025-11-28T17:26:45Z</dcterms:modified>
</cp:coreProperties>
</file>